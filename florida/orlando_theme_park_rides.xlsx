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ides" sheetId="1" state="visible" r:id="rId3"/>
    <sheet name="Florence watch list" sheetId="2" state="visible" r:id="rId4"/>
    <sheet name="Ranked non-rides" sheetId="3" state="visible" r:id="rId5"/>
    <sheet name="Sources &amp; Notes" sheetId="4" state="visible" r:id="rId6"/>
  </sheets>
  <definedNames>
    <definedName function="false" hidden="true" localSheetId="0" name="_xlnm._FilterDatabase" vbProcedure="false">Rides!$A$4:$P$102</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2" authorId="0">
      <text>
        <r>
          <rPr>
            <sz val="10"/>
            <rFont val="Arial"/>
            <family val="2"/>
          </rPr>
          <t xml:space="preserve">Placeholder: you said she's 'almost' 36". Enter her real height (in shoes) and the 'Florence can ride?' column will update.</t>
        </r>
      </text>
    </comment>
  </commentList>
</comments>
</file>

<file path=xl/sharedStrings.xml><?xml version="1.0" encoding="utf-8"?>
<sst xmlns="http://schemas.openxmlformats.org/spreadsheetml/2006/main" count="1645" uniqueCount="1015">
  <si>
    <t xml:space="preserve">Orlando theme park rides: Magic Kingdom, EPCOT, Animal Kingdom, Universal Studios, Islands of Adventure, Epic Universe, SeaWorld (researched Oct 2026)</t>
  </si>
  <si>
    <t xml:space="preserve">Florence's height (inches):</t>
  </si>
  <si>
    <t xml:space="preserve">← edit the yellow cell; the "Florence can ride?" column recalculates. See the Sources &amp; Notes tab for caveats.</t>
  </si>
  <si>
    <t xml:space="preserve">Park</t>
  </si>
  <si>
    <t xml:space="preserve">Land / area</t>
  </si>
  <si>
    <t xml:space="preserve">Ride</t>
  </si>
  <si>
    <t xml:space="preserve">Ride type</t>
  </si>
  <si>
    <t xml:space="preserve">Min height (in)</t>
  </si>
  <si>
    <t xml:space="preserve">Height notes</t>
  </si>
  <si>
    <t xml:space="preserve">Florence can ride?</t>
  </si>
  <si>
    <t xml:space="preserve">Movie / franchise theming</t>
  </si>
  <si>
    <t xml:space="preserve">Watch-ahead pick (rating, notes)</t>
  </si>
  <si>
    <t xml:space="preserve">Line-skip system (Disney Lightning Lane / Universal Express)</t>
  </si>
  <si>
    <t xml:space="preserve">Single rider line?</t>
  </si>
  <si>
    <t xml:space="preserve">Duplicates a California ride?</t>
  </si>
  <si>
    <t xml:space="preserve">California notes</t>
  </si>
  <si>
    <t xml:space="preserve">Wandering in Disney rank (rides only)</t>
  </si>
  <si>
    <t xml:space="preserve">Wandering in Disney rank (all attractions in park)</t>
  </si>
  <si>
    <t xml:space="preserve">Status / notes</t>
  </si>
  <si>
    <t xml:space="preserve">Magic Kingdom</t>
  </si>
  <si>
    <t xml:space="preserve">Liberty Square</t>
  </si>
  <si>
    <t xml:space="preserve">Haunted Mansion</t>
  </si>
  <si>
    <t xml:space="preserve">Omnimover dark ride</t>
  </si>
  <si>
    <t xml:space="preserve">No minimum</t>
  </si>
  <si>
    <t xml:space="preserve">None (original attraction; later films 2003 &amp; 2023)</t>
  </si>
  <si>
    <t xml:space="preserve">No watch-ahead needed. The films Haunted Mansion (2003, PG) and Haunted Mansion (2023, PG-13) are scarier than the ride. The ride is dark with ghosts and a stretching room, and can spook some toddlers but is mostly playful.</t>
  </si>
  <si>
    <t xml:space="preserve">Multi Pass – Tier 2</t>
  </si>
  <si>
    <t xml:space="preserve">No</t>
  </si>
  <si>
    <t xml:space="preserve">Yes</t>
  </si>
  <si>
    <t xml:space="preserve">Haunted Mansion (Disneyland) – same ride; MK's is longer, with an extra library, music room and endless staircase. In Nov/Dec Disneyland runs the Nightmare Before Christmas 'Haunted Mansion Holiday' overlay, so MK offers the classic version.</t>
  </si>
  <si>
    <t xml:space="preserve">#1 of 30</t>
  </si>
  <si>
    <t xml:space="preserve">Exterior/queue work has been ongoing since Jan 2026; the ride stays open.</t>
  </si>
  <si>
    <t xml:space="preserve">Frontierland</t>
  </si>
  <si>
    <t xml:space="preserve">Big Thunder Mountain Railroad</t>
  </si>
  <si>
    <t xml:space="preserve">Outdoor mine-train coaster</t>
  </si>
  <si>
    <t xml:space="preserve">38" minimum (lowered from 40" at the May 2026 reopening). Florence is too short. Rider Switch available.</t>
  </si>
  <si>
    <t xml:space="preserve">None (original runaway mine train)</t>
  </si>
  <si>
    <t xml:space="preserve">—</t>
  </si>
  <si>
    <t xml:space="preserve">Multi Pass – Tier 1</t>
  </si>
  <si>
    <t xml:space="preserve">Big Thunder Mountain Railroad (Disneyland) – same ride concept and type, with a different layout and scenery.</t>
  </si>
  <si>
    <t xml:space="preserve">#2 of 30</t>
  </si>
  <si>
    <t xml:space="preserve">Reopened May 3, 2026 after a roughly 16-month refurbishment that brought new effects, smoother track and the lower 38" height requirement.</t>
  </si>
  <si>
    <t xml:space="preserve">Adventureland</t>
  </si>
  <si>
    <t xml:space="preserve">Jungle Cruise</t>
  </si>
  <si>
    <t xml:space="preserve">Guided outdoor boat ride</t>
  </si>
  <si>
    <t xml:space="preserve">None (original 1955 attraction; inspired the 2021 Jungle Cruise film)</t>
  </si>
  <si>
    <t xml:space="preserve">Not needed. Optional: Jungle Cruise (2021), PG-13 – action peril, too intense for a toddler. The ride is gentle: animatronic animals, corny skipper jokes, a dim temple and a few 'headhunter' scenes.</t>
  </si>
  <si>
    <t xml:space="preserve">Jungle Cruise (Disneyland) – same ride; MK version adds a temple with tigers and Schweitzer Falls.</t>
  </si>
  <si>
    <t xml:space="preserve">#3 of 30</t>
  </si>
  <si>
    <t xml:space="preserve">Holiday 'Jingle Cruise' overlay runs from Nov 3, 2026 through the holiday season (Disney's site oddly shows regular Jungle Cruise hours Dec 1–9, which may be a glitch). That overlay is a plus for a late-Nov/early-Dec visit.</t>
  </si>
  <si>
    <t xml:space="preserve">Fantasyland</t>
  </si>
  <si>
    <t xml:space="preserve">Peter Pan's Flight</t>
  </si>
  <si>
    <t xml:space="preserve">Suspended dark ride</t>
  </si>
  <si>
    <t xml:space="preserve">Peter Pan</t>
  </si>
  <si>
    <t xml:space="preserve">Peter Pan (1953), G – toddler-friendly; Captain Hook and the crocodile are mild peril. (Some dated Native American depictions; Disney+ shows a content advisory.)</t>
  </si>
  <si>
    <t xml:space="preserve">Peter Pan's Flight (Disneyland) – essentially the same ride; Disneyland's 2015 refresh has slightly better effects.</t>
  </si>
  <si>
    <t xml:space="preserve">#4 of 30</t>
  </si>
  <si>
    <t xml:space="preserve">Long standby waits; a good Tier 1 pick.</t>
  </si>
  <si>
    <t xml:space="preserve">Tomorrowland</t>
  </si>
  <si>
    <t xml:space="preserve">TRON Lightcycle / Run</t>
  </si>
  <si>
    <t xml:space="preserve">Launched motorbike-style coaster (partly outdoor)</t>
  </si>
  <si>
    <t xml:space="preserve">48" minimum. Florence is too short. Rider Switch available.</t>
  </si>
  <si>
    <t xml:space="preserve">TRON</t>
  </si>
  <si>
    <t xml:space="preserve">Grown-ups only: TRON: Legacy (2010), PG, or Tron: Ares (2025), PG-13 – not toddler material, and Florence can't ride (48").</t>
  </si>
  <si>
    <t xml:space="preserve">Lightning Lane Single Pass only (separate purchase)</t>
  </si>
  <si>
    <t xml:space="preserve">#5 of 30</t>
  </si>
  <si>
    <t xml:space="preserve">Standby queue (no virtual queue). Best at night. Lockers are required for loose items.</t>
  </si>
  <si>
    <t xml:space="preserve">Space Mountain</t>
  </si>
  <si>
    <t xml:space="preserve">Indoor coaster in the dark</t>
  </si>
  <si>
    <t xml:space="preserve">44" minimum. Florence is too short. Rider Switch available.</t>
  </si>
  <si>
    <t xml:space="preserve">None (original attraction)</t>
  </si>
  <si>
    <t xml:space="preserve">Sometimes (single-rider queue tested in 2026; ask a cast member)</t>
  </si>
  <si>
    <t xml:space="preserve">Partial</t>
  </si>
  <si>
    <t xml:space="preserve">Space Mountain (Disneyland) – same concept, but a different coaster: Disneyland has side-by-side seats and an onboard soundtrack, while MK has single-file rockets, twin tracks and a rougher ride.</t>
  </si>
  <si>
    <t xml:space="preserve">#6 of 30</t>
  </si>
  <si>
    <t xml:space="preserve">Pirates of the Caribbean</t>
  </si>
  <si>
    <t xml:space="preserve">Indoor boat dark ride (one small drop)</t>
  </si>
  <si>
    <t xml:space="preserve">Pirates of the Caribbean (ride came first in 1967; Jack Sparrow/Barbossa added from the films)</t>
  </si>
  <si>
    <t xml:space="preserve">Pirates of the Caribbean: The Curse of the Black Pearl (2003), PG-13 – too scary for a toddler (skeleton pirates, violence); skip for Florence. The ride is dark with cannon fire, skeletons and a short drop.</t>
  </si>
  <si>
    <t xml:space="preserve">Pirates of the Caribbean (Disneyland) – same ride, but the MK version is shorter with one drop instead of two and no bayou scene; Disneyland's is widely considered better.</t>
  </si>
  <si>
    <t xml:space="preserve">#7 of 30</t>
  </si>
  <si>
    <t xml:space="preserve">Buzz Lightyear's Space Ranger Spin</t>
  </si>
  <si>
    <t xml:space="preserve">Interactive shooting dark ride</t>
  </si>
  <si>
    <t xml:space="preserve">No minimum. Children under 7 must ride with someone 14+.</t>
  </si>
  <si>
    <t xml:space="preserve">Toy Story (Buzz Lightyear vs. Zurg)</t>
  </si>
  <si>
    <t xml:space="preserve">Toy Story 2 (1999), G – opens with Buzz fighting Zurg; toddler-friendly. The ride is a dim blacklight space theme with blasters and is not scary.</t>
  </si>
  <si>
    <t xml:space="preserve">Buzz Lightyear Astro Blasters (Disneyland) – same ride concept and scenes; MK's April 2026 reimagining adds new handheld blasters, reactive targets, onboard score screens and a new 'Buddy' animatronic.</t>
  </si>
  <si>
    <t xml:space="preserve">#8 of 30</t>
  </si>
  <si>
    <t xml:space="preserve">Reopened April 8, 2026 after an approximately 8-month reimagining; well reviewed.</t>
  </si>
  <si>
    <t xml:space="preserve">Tomorrowland Transit Authority PeopleMover</t>
  </si>
  <si>
    <t xml:space="preserve">Elevated slow tour ride</t>
  </si>
  <si>
    <t xml:space="preserve">None</t>
  </si>
  <si>
    <t xml:space="preserve">#9 of 30</t>
  </si>
  <si>
    <t xml:space="preserve">Usually a short wait, and it passes through Space Mountain.</t>
  </si>
  <si>
    <t xml:space="preserve">Seven Dwarfs Mine Train</t>
  </si>
  <si>
    <t xml:space="preserve">Family coaster (swinging cars)</t>
  </si>
  <si>
    <t xml:space="preserve">38" minimum. Florence is too short. Rider Switch available.</t>
  </si>
  <si>
    <t xml:space="preserve">Snow White and the Seven Dwarfs</t>
  </si>
  <si>
    <t xml:space="preserve">Snow White and the Seven Dwarfs (1937), G – the Evil Queen/witch and dark forest are genuinely scary for toddlers. Florence can't ride (38").</t>
  </si>
  <si>
    <t xml:space="preserve">Same IP only</t>
  </si>
  <si>
    <t xml:space="preserve">Snow White's Enchanted Wish (Disneyland) is a dark ride, not a coaster.</t>
  </si>
  <si>
    <t xml:space="preserve">#10 of 30</t>
  </si>
  <si>
    <t xml:space="preserve">"it's a small world"</t>
  </si>
  <si>
    <t xml:space="preserve">Indoor slow boat ride</t>
  </si>
  <si>
    <t xml:space="preserve">None (original 1964 World's Fair attraction)</t>
  </si>
  <si>
    <t xml:space="preserve">"it's a small world" (Disneyland) – same ride; Disneyland's has the big outdoor facade and in Nov/Dec runs the 'small world Holiday' overlay (MK has no holiday overlay).</t>
  </si>
  <si>
    <t xml:space="preserve">#11 of 30</t>
  </si>
  <si>
    <t xml:space="preserve">Tiana's Bayou Adventure</t>
  </si>
  <si>
    <t xml:space="preserve">Log flume (52-ft final drop)</t>
  </si>
  <si>
    <t xml:space="preserve">40" minimum. Florence is too short. Rider Switch available.</t>
  </si>
  <si>
    <t xml:space="preserve">The Princess and the Frog</t>
  </si>
  <si>
    <t xml:space="preserve">The Princess and the Frog (2009), G – mostly fine, but Dr. Facilier's shadow spirits scare some toddlers. Florence can't ride (40").</t>
  </si>
  <si>
    <t xml:space="preserve">Tiana's Bayou Adventure (Disneyland) – the same retheme of Splash Mountain, with near-identical story and effects; the layouts differ (MK's is longer).</t>
  </si>
  <si>
    <t xml:space="preserve">#12 of 30</t>
  </si>
  <si>
    <t xml:space="preserve">CLOSED FOR REFURBISHMENT Nov 2 – Dec 17, 2026. Disney's calendar shows hours again from Dec 18 (not formally announced; could change). It will be closed for a late-Nov/early-Dec visit.</t>
  </si>
  <si>
    <t xml:space="preserve">Main Street, U.S.A.</t>
  </si>
  <si>
    <t xml:space="preserve">Walt Disney World Railroad</t>
  </si>
  <si>
    <t xml:space="preserve">Steam train (currently one-way shuttle)</t>
  </si>
  <si>
    <t xml:space="preserve">Disneyland Railroad (Disneyland) – same steam-train concept, but Disneyland's runs the full loop with Grand Canyon/Primeval World dioramas; MK's currently only shuttles Main Street ↔ Fantasyland (Storybook Circus).</t>
  </si>
  <si>
    <t xml:space="preserve">#15 of 30</t>
  </si>
  <si>
    <t xml:space="preserve">Closed for refurbishment Sept 28 – Oct 29, 2026; Disney's calendar shows it back Oct 30 (official page says 'expected to reopen November 2026'). Since July 2025 it no longer circles the park (Frontierland station closed for Piston Peak National Park construction) and runs only between Main Street and Fantasyland stations, expected to continue that way.</t>
  </si>
  <si>
    <t xml:space="preserve">Fantasyland (Storybook Circus)</t>
  </si>
  <si>
    <t xml:space="preserve">Dumbo the Flying Elephant</t>
  </si>
  <si>
    <t xml:space="preserve">Hub spinner</t>
  </si>
  <si>
    <t xml:space="preserve">Dumbo</t>
  </si>
  <si>
    <t xml:space="preserve">Dumbo (1941), G – short and gentle, but the mother-separation scene is sad and the 'Pink Elephants' scene is surreal (Disney+ shows a content advisory for the crows).</t>
  </si>
  <si>
    <t xml:space="preserve">Dumbo the Flying Elephant (Disneyland) – same ride; MK has two spinners and an indoor play-area queue.</t>
  </si>
  <si>
    <t xml:space="preserve">#19 of 30</t>
  </si>
  <si>
    <t xml:space="preserve">Astro Orbiter</t>
  </si>
  <si>
    <t xml:space="preserve">Elevated hub spinner</t>
  </si>
  <si>
    <t xml:space="preserve">Astro Orbitor (Disneyland) – same rocket-spinner type, but at ground level; MK's sits high on a platform reached by elevator.</t>
  </si>
  <si>
    <t xml:space="preserve">#20 of 30</t>
  </si>
  <si>
    <t xml:space="preserve">Low capacity, so waits can be long for a short ride.</t>
  </si>
  <si>
    <t xml:space="preserve">Mad Tea Party</t>
  </si>
  <si>
    <t xml:space="preserve">Spinning teacups</t>
  </si>
  <si>
    <t xml:space="preserve">Alice in Wonderland</t>
  </si>
  <si>
    <t xml:space="preserve">Alice in Wonderland (1951), G – fine; the Queen of Hearts is a bit shouty.</t>
  </si>
  <si>
    <t xml:space="preserve">Mad Tea Party (Disneyland) – same ride; MK's is under a roof.</t>
  </si>
  <si>
    <t xml:space="preserve">#21 of 30</t>
  </si>
  <si>
    <t xml:space="preserve">Under the Sea ~ Journey of The Little Mermaid</t>
  </si>
  <si>
    <t xml:space="preserve">Clamshell dark ride</t>
  </si>
  <si>
    <t xml:space="preserve">The Little Mermaid</t>
  </si>
  <si>
    <t xml:space="preserve">The Little Mermaid (1989), G – Ursula can frighten toddlers; the ride's Ursula scene is dark and loud but brief.</t>
  </si>
  <si>
    <t xml:space="preserve">The Little Mermaid ~ Ariel's Undersea Adventure (Disney California Adventure) – essentially the same ride; MK adds an elaborate grotto queue and Prince Eric's castle exterior.</t>
  </si>
  <si>
    <t xml:space="preserve">#24 of 30</t>
  </si>
  <si>
    <t xml:space="preserve">The Barnstormer</t>
  </si>
  <si>
    <t xml:space="preserve">Junior outdoor coaster</t>
  </si>
  <si>
    <t xml:space="preserve">35" minimum. At 35.5" Florence just clears it (she is measured at the entrance). Children under 7 must ride with someone 14+. Rider Switch available.</t>
  </si>
  <si>
    <t xml:space="preserve">Goofy (classic Disney cartoons – 'The Great Goofini')</t>
  </si>
  <si>
    <t xml:space="preserve">Optional: any classic Goofy cartoon short (e.g., a 'How To' short on Disney+) – harmless slapstick.</t>
  </si>
  <si>
    <t xml:space="preserve">Gadget's Go Coaster (Disneyland, Mickey's Toontown) – the same type of small Vekoma junior coaster with the same 35" minimum.</t>
  </si>
  <si>
    <t xml:space="preserve">#25 of 30</t>
  </si>
  <si>
    <t xml:space="preserve">Likely Florence's first coaster; it lasts under a minute.</t>
  </si>
  <si>
    <t xml:space="preserve">The Many Adventures of Winnie the Pooh</t>
  </si>
  <si>
    <t xml:space="preserve">Gentle dark ride (honey-pot vehicles)</t>
  </si>
  <si>
    <t xml:space="preserve">Winnie the Pooh</t>
  </si>
  <si>
    <t xml:space="preserve">The Many Adventures of Winnie the Pooh (1977), G – very toddler-friendly; the 'Heffalumps and Woozles' dream scene is a bit trippy.</t>
  </si>
  <si>
    <t xml:space="preserve">The Many Adventures of Winnie the Pooh (Disneyland, Bayou Country) – same ride concept and scenes; MK's has an interactive queue and some layout differences.</t>
  </si>
  <si>
    <t xml:space="preserve">#26 of 30</t>
  </si>
  <si>
    <t xml:space="preserve">Prince Charming Regal Carrousel</t>
  </si>
  <si>
    <t xml:space="preserve">Carousel</t>
  </si>
  <si>
    <t xml:space="preserve">Cinderella (light theming)</t>
  </si>
  <si>
    <t xml:space="preserve">Optional: Cinderella (1950), G – gentle; the stepmother is mildly mean.</t>
  </si>
  <si>
    <t xml:space="preserve">King Arthur Carrousel (Disneyland) – same experience.</t>
  </si>
  <si>
    <t xml:space="preserve">#27 of 30</t>
  </si>
  <si>
    <t xml:space="preserve">The Magic Carpets of Aladdin</t>
  </si>
  <si>
    <t xml:space="preserve">Hub spinner (Dumbo-style)</t>
  </si>
  <si>
    <t xml:space="preserve">Aladdin</t>
  </si>
  <si>
    <t xml:space="preserve">Aladdin (1992), G – fine for toddlers; Jafar and the Cave of Wonders are briefly scary.</t>
  </si>
  <si>
    <t xml:space="preserve">Only a generic ride-type match: No Aladdin ride in California; same hub-spinner ride system as Dumbo the Flying Elephant (Disneyland).</t>
  </si>
  <si>
    <t xml:space="preserve">#28 of 30</t>
  </si>
  <si>
    <t xml:space="preserve">Front-row riders can also tilt the carpet, and camels spit water at riders.</t>
  </si>
  <si>
    <t xml:space="preserve">Tomorrowland Speedway</t>
  </si>
  <si>
    <t xml:space="preserve">Gas-powered guide-rail car ride</t>
  </si>
  <si>
    <t xml:space="preserve">32" minimum to ride; 54" to drive alone. Florence can ride (and steer) with an adult working the pedal. Children under 7 must ride with someone 14+.</t>
  </si>
  <si>
    <t xml:space="preserve">Autopia (Disneyland) – essentially the same ride.</t>
  </si>
  <si>
    <t xml:space="preserve">#30 of 30</t>
  </si>
  <si>
    <t xml:space="preserve">Fans have speculated it will close eventually, but nothing has been announced; it is operating.</t>
  </si>
  <si>
    <t xml:space="preserve">Main Street Vehicles</t>
  </si>
  <si>
    <t xml:space="preserve">Vintage vehicle ride (fire engine, jitney, omnibus, horse-drawn trolley)</t>
  </si>
  <si>
    <t xml:space="preserve">Main Street Vehicles (Disneyland) – essentially the same one-way Town Square ↔ castle hub rides.</t>
  </si>
  <si>
    <t xml:space="preserve">Not ranked</t>
  </si>
  <si>
    <t xml:space="preserve">Runs intermittently, mostly in the mornings; not available around parade times. Horse-drawn trolley is often used for Dapper Dans shows rather than regular rides.</t>
  </si>
  <si>
    <t xml:space="preserve">EPCOT</t>
  </si>
  <si>
    <t xml:space="preserve">World Discovery</t>
  </si>
  <si>
    <t xml:space="preserve">Guardians of the Galaxy: Cosmic Rewind</t>
  </si>
  <si>
    <t xml:space="preserve">Indoor spinning coaster (reverse launch)</t>
  </si>
  <si>
    <t xml:space="preserve">Guardians of the Galaxy (Marvel)</t>
  </si>
  <si>
    <t xml:space="preserve">Guardians of the Galaxy (2014), PG-13. Grown-ups only; Florence can't ride.</t>
  </si>
  <si>
    <t xml:space="preserve">DCA's Guardians: Mission BREAKOUT! is a totally different ride (drop tower)</t>
  </si>
  <si>
    <t xml:space="preserve">#1 of 20</t>
  </si>
  <si>
    <t xml:space="preserve">Wandering in Disney's #1 in the park.</t>
  </si>
  <si>
    <t xml:space="preserve">Test Track</t>
  </si>
  <si>
    <t xml:space="preserve">Car-themed high-speed dark ride</t>
  </si>
  <si>
    <t xml:space="preserve">None (original car-design concept, Chevrolet)</t>
  </si>
  <si>
    <t xml:space="preserve">Same ride system as Radiator Springs Racers (DCA), but different theme/show</t>
  </si>
  <si>
    <t xml:space="preserve">#3 of 20</t>
  </si>
  <si>
    <t xml:space="preserve">Reimagined version reopened July 2025. Single rider: everyone must be 7+.</t>
  </si>
  <si>
    <t xml:space="preserve">World Nature</t>
  </si>
  <si>
    <t xml:space="preserve">Soarin' Across America</t>
  </si>
  <si>
    <t xml:space="preserve">Hang-glider flight simulator (film)</t>
  </si>
  <si>
    <t xml:space="preserve">None (aerial film of U.S. landscapes)</t>
  </si>
  <si>
    <t xml:space="preserve">Same ride and same new film at Disney California Adventure (opened there July 2, 2026)</t>
  </si>
  <si>
    <t xml:space="preserve">#4 of 20</t>
  </si>
  <si>
    <t xml:space="preserve">New film debuted May 26, 2026 (replaced Soarin' Around the World).</t>
  </si>
  <si>
    <t xml:space="preserve">World Celebration</t>
  </si>
  <si>
    <t xml:space="preserve">Spaceship Earth</t>
  </si>
  <si>
    <t xml:space="preserve">Slow omnimover dark ride inside the geodesic sphere</t>
  </si>
  <si>
    <t xml:space="preserve">None (original history-of-communication story)</t>
  </si>
  <si>
    <t xml:space="preserve">#5 of 20</t>
  </si>
  <si>
    <t xml:space="preserve">Disney announced a major reimagining at D23 (Aug 2026), with closure dates not yet set. Check that it's still open before you go.</t>
  </si>
  <si>
    <t xml:space="preserve">Living with the Land</t>
  </si>
  <si>
    <t xml:space="preserve">Gentle boat ride through greenhouses</t>
  </si>
  <si>
    <t xml:space="preserve">None (real greenhouses and farms)</t>
  </si>
  <si>
    <t xml:space="preserve">#6 of 20</t>
  </si>
  <si>
    <t xml:space="preserve">World Showcase – Norway</t>
  </si>
  <si>
    <t xml:space="preserve">Frozen Ever After</t>
  </si>
  <si>
    <t xml:space="preserve">Boat dark ride (small drops)</t>
  </si>
  <si>
    <t xml:space="preserve">Frozen (2013)</t>
  </si>
  <si>
    <t xml:space="preserve">Frozen (2013), PG. The ride is set after the film; the short Frozen Fever (2015) fits too. Mildly scary bits: wolves and Marshmallow the snow monster, who also appears on the ride.</t>
  </si>
  <si>
    <t xml:space="preserve">No Frozen ride in California</t>
  </si>
  <si>
    <t xml:space="preserve">#7 of 20</t>
  </si>
  <si>
    <t xml:space="preserve">WiD moved it up after the animatronic faces were fixed.</t>
  </si>
  <si>
    <t xml:space="preserve">World Showcase – France</t>
  </si>
  <si>
    <t xml:space="preserve">Remy's Ratatouille Adventure</t>
  </si>
  <si>
    <t xml:space="preserve">Trackless 3D dark ride</t>
  </si>
  <si>
    <t xml:space="preserve">Ratatouille (2007, Pixar)</t>
  </si>
  <si>
    <t xml:space="preserve">Ratatouille (2007), G. On the ride you're rat-sized and get chased around Gusteau's kitchen: mostly silly, but loud and dark in spots.</t>
  </si>
  <si>
    <t xml:space="preserve">Otherwise only at Disneyland Paris</t>
  </si>
  <si>
    <t xml:space="preserve">#8 of 20</t>
  </si>
  <si>
    <t xml:space="preserve">Single rider (added in Nov 2024): everyone must be 7+.</t>
  </si>
  <si>
    <t xml:space="preserve">World Showcase – Mexico</t>
  </si>
  <si>
    <t xml:space="preserve">Gran Fiesta Tour Starring the Three Caballeros</t>
  </si>
  <si>
    <t xml:space="preserve">Gentle indoor boat ride</t>
  </si>
  <si>
    <t xml:space="preserve">The Three Caballeros (1944)</t>
  </si>
  <si>
    <t xml:space="preserve">The Three Caballeros (1944 Disney film, on Disney+). Stars Donald Duck, José Carioca and Panchito; any Donald Duck cartoon is enough prep.</t>
  </si>
  <si>
    <t xml:space="preserve">#11 of 20</t>
  </si>
  <si>
    <t xml:space="preserve">Mission: SPACE</t>
  </si>
  <si>
    <t xml:space="preserve">Motion simulator; Orange = intense centrifuge, Green = milder</t>
  </si>
  <si>
    <t xml:space="preserve">40" for Green (milder); 44" for Orange (intense centrifuge)</t>
  </si>
  <si>
    <t xml:space="preserve">None (original Mars mission)</t>
  </si>
  <si>
    <t xml:space="preserve">#13 of 20</t>
  </si>
  <si>
    <t xml:space="preserve">Journey Into Imagination with Figment</t>
  </si>
  <si>
    <t xml:space="preserve">Slow dark ride</t>
  </si>
  <si>
    <t xml:space="preserve">None (Figment is an original EPCOT character)</t>
  </si>
  <si>
    <t xml:space="preserve">#17 of 20</t>
  </si>
  <si>
    <t xml:space="preserve">The Seas with Nemo &amp; Friends</t>
  </si>
  <si>
    <t xml:space="preserve">Slow clamshell omnimover dark ride + aquarium</t>
  </si>
  <si>
    <t xml:space="preserve">Finding Nemo (2003, Pixar)</t>
  </si>
  <si>
    <t xml:space="preserve">Finding Nemo (2003), G. The shark and anglerfish scenes are a bit scary for little ones.</t>
  </si>
  <si>
    <t xml:space="preserve">Disneyland's Finding Nemo Submarine Voyage is a different ride</t>
  </si>
  <si>
    <t xml:space="preserve">#18 of 20</t>
  </si>
  <si>
    <t xml:space="preserve">Animal Kingdom</t>
  </si>
  <si>
    <t xml:space="preserve">Africa</t>
  </si>
  <si>
    <t xml:space="preserve">Kilimanjaro Safaris</t>
  </si>
  <si>
    <t xml:space="preserve">Open-truck safari through animal savanna</t>
  </si>
  <si>
    <t xml:space="preserve">None (real live animals)</t>
  </si>
  <si>
    <t xml:space="preserve">No movie needed. An African-animals picture book or nature show is a nice primer.</t>
  </si>
  <si>
    <t xml:space="preserve">Multi Pass (Animal Kingdom has no tiers)</t>
  </si>
  <si>
    <t xml:space="preserve">#1 of 8</t>
  </si>
  <si>
    <t xml:space="preserve">Pandora</t>
  </si>
  <si>
    <t xml:space="preserve">Avatar Flight of Passage</t>
  </si>
  <si>
    <t xml:space="preserve">3D flying simulator (motorcycle-style seat)</t>
  </si>
  <si>
    <t xml:space="preserve">Avatar (2009)</t>
  </si>
  <si>
    <t xml:space="preserve">Avatar (2009), PG-13. Grown-ups only.</t>
  </si>
  <si>
    <t xml:space="preserve">#2 of 8</t>
  </si>
  <si>
    <t xml:space="preserve">Asia</t>
  </si>
  <si>
    <t xml:space="preserve">Expedition Everest</t>
  </si>
  <si>
    <t xml:space="preserve">Coaster (forwards and backwards)</t>
  </si>
  <si>
    <t xml:space="preserve">None (original yeti legend)</t>
  </si>
  <si>
    <t xml:space="preserve">No (ended Sept 21, 2026)</t>
  </si>
  <si>
    <t xml:space="preserve">Matterhorn (Disneyland) is a different mountain coaster</t>
  </si>
  <si>
    <t xml:space="preserve">#3 of 8</t>
  </si>
  <si>
    <t xml:space="preserve">Yeti animatronic still not working properly. Single rider line ended Sept 2026.</t>
  </si>
  <si>
    <t xml:space="preserve">Na'vi River Journey</t>
  </si>
  <si>
    <t xml:space="preserve">Slow indoor boat ride</t>
  </si>
  <si>
    <t xml:space="preserve">Skip the movie for Florence (PG-13). The ride is a calm, glowing-jungle boat trip that needs no backstory.</t>
  </si>
  <si>
    <t xml:space="preserve">#6 of 8</t>
  </si>
  <si>
    <t xml:space="preserve">Kali River Rapids</t>
  </si>
  <si>
    <t xml:space="preserve">River rapids raft (you will get soaked)</t>
  </si>
  <si>
    <t xml:space="preserve">Similar raft ride: Grizzly River Run at DCA</t>
  </si>
  <si>
    <t xml:space="preserve">#7 of 8</t>
  </si>
  <si>
    <t xml:space="preserve">Africa → Rafiki's Planet Watch</t>
  </si>
  <si>
    <t xml:space="preserve">Wildlife Express Train</t>
  </si>
  <si>
    <t xml:space="preserve">Short train ride to Conservation Station / Bluey's Wild World</t>
  </si>
  <si>
    <t xml:space="preserve">Bluey (TV series), since 2026</t>
  </si>
  <si>
    <t xml:space="preserve">Bluey (TV-Y, Disney+). Bluey audio plays on the train, and it takes you to Bluey's Wild World. The easiest watch-ahead on this list.</t>
  </si>
  <si>
    <t xml:space="preserve">None (a virtual queue was used for Bluey's Wild World access at launch)</t>
  </si>
  <si>
    <t xml:space="preserve">WiD doesn't rank it. Now the only way to reach Bluey's Wild World (opened May 26, 2026), with Bluey audio on board.</t>
  </si>
  <si>
    <t xml:space="preserve">Universal Studios Florida</t>
  </si>
  <si>
    <t xml:space="preserve">The Wizarding World of Harry Potter - Diagon Alley</t>
  </si>
  <si>
    <t xml:space="preserve">Harry Potter and the Escape from Gringotts</t>
  </si>
  <si>
    <t xml:space="preserve">3D coaster / dark ride hybrid</t>
  </si>
  <si>
    <t xml:space="preserve">42"-48" need a supervising companion. Test seat available.</t>
  </si>
  <si>
    <t xml:space="preserve">Harry Potter (Wizarding World)</t>
  </si>
  <si>
    <t xml:space="preserve">Grown-ups only: Harry Potter and the Deathly Hallows - Part 2 (2011), PG-13 - the Gringotts break-in and dragon escape; dark, with Voldemort and Bellatrix. Not for a toddler.</t>
  </si>
  <si>
    <t xml:space="preserve">Universal Express (free Express Unlimited for Hard Rock, Portofino Bay &amp; Royal Pacific hotel guests)</t>
  </si>
  <si>
    <t xml:space="preserve">Harry Potter and the Forbidden Journey and Flight of the Hippogriff, Universal Studios Hollywood. Gringotts itself has no California version.</t>
  </si>
  <si>
    <t xml:space="preserve">#1 of 13</t>
  </si>
  <si>
    <t xml:space="preserve">WiD's #1 ride at the park. Diagon Alley is worth walking through even for non-riders.</t>
  </si>
  <si>
    <t xml:space="preserve">Hollywood</t>
  </si>
  <si>
    <t xml:space="preserve">E.T. Adventure</t>
  </si>
  <si>
    <t xml:space="preserve">Suspended 'bicycle' dark ride</t>
  </si>
  <si>
    <t xml:space="preserve">34"-48" need a supervising companion. Florence (35.5") qualifies.</t>
  </si>
  <si>
    <t xml:space="preserve">E.T. the Extra-Terrestrial</t>
  </si>
  <si>
    <t xml:space="preserve">E.T. the Extra-Terrestrial (1982), PG - includes some tense or sad scenes (government agents, a sick E.T.), so best watched with a parent. The ride is gentle but dark, with a police-chase section and a flight over the city.</t>
  </si>
  <si>
    <t xml:space="preserve">Occasionally</t>
  </si>
  <si>
    <t xml:space="preserve">#2 of 13</t>
  </si>
  <si>
    <t xml:space="preserve">The park's last opening-day (1990) ride. A top pick for Florence: it has the lowest height minimum of any Universal ride. The Universal Studios Hollywood version closed in 2003.</t>
  </si>
  <si>
    <t xml:space="preserve">New York</t>
  </si>
  <si>
    <t xml:space="preserve">Revenge of the Mummy</t>
  </si>
  <si>
    <t xml:space="preserve">Indoor launched coaster / dark ride</t>
  </si>
  <si>
    <t xml:space="preserve">Test seat at the entrance. 48" also clears the ride-alone threshold, so no companion rule applies.</t>
  </si>
  <si>
    <t xml:space="preserve">The Mummy (1999 film series)</t>
  </si>
  <si>
    <t xml:space="preserve">Grown-ups only: The Mummy (1999), PG-13 - scary mummies, scarabs and fire; not for a toddler.</t>
  </si>
  <si>
    <t xml:space="preserve">Revenge of the Mummy - The Ride, Universal Studios Hollywood (Lower Lot): same film, but a shorter coaster with a different layout. WiD calls the Orlando version much better.</t>
  </si>
  <si>
    <t xml:space="preserve">#3 of 13</t>
  </si>
  <si>
    <t xml:space="preserve">Had a short refurbishment in Jan 2026 (sources give Jan 15-21 or Jan 27-Feb 2); nothing scheduled for Nov/Dec 2026.</t>
  </si>
  <si>
    <t xml:space="preserve">The Wizarding World of Harry Potter - Diagon Alley (King's Cross / London)</t>
  </si>
  <si>
    <t xml:space="preserve">Hogwarts Express - King's Cross Station</t>
  </si>
  <si>
    <t xml:space="preserve">Enclosed train ride with animated window screens (park-to-park transport)</t>
  </si>
  <si>
    <t xml:space="preserve">No minimum. Children under 48" need a supervising companion.</t>
  </si>
  <si>
    <t xml:space="preserve">Harry Potter and the Sorcerer's Stone (2001), PG - mild. In one direction (London to Hogsmeade) a Dementor briefly appears at the compartment door, which could startle a toddler.</t>
  </si>
  <si>
    <t xml:space="preserve">Universal Express (free Express Unlimited for Hard Rock, Portofino Bay &amp; Royal Pacific hotel guests); requires a park-to-park ticket</t>
  </si>
  <si>
    <t xml:space="preserve">The Wizarding World of Harry Potter at Universal Studios Hollywood has no train ride.</t>
  </si>
  <si>
    <t xml:space="preserve">#4 of 13</t>
  </si>
  <si>
    <t xml:space="preserve">Requires a park-to-park ticket (USF + Islands of Adventure) because it travels to Hogsmeade Station at IOA. Each direction shows a different story. Closed for one day on Nov 4, 2026, before the trip; full refurbishment was Feb 9-23, 2026.</t>
  </si>
  <si>
    <t xml:space="preserve">Illumination's Minion Land</t>
  </si>
  <si>
    <t xml:space="preserve">Despicable Me Minion Mayhem</t>
  </si>
  <si>
    <t xml:space="preserve">3D motion-simulator ride</t>
  </si>
  <si>
    <t xml:space="preserve">40"-48" need a supervising companion. Under 40" (e.g. Florence) may sit in the adjacent stationary (non-moving) seats and still see the show.</t>
  </si>
  <si>
    <t xml:space="preserve">Despicable Me (Illumination)</t>
  </si>
  <si>
    <t xml:space="preserve">Despicable Me (2010), PG - gentle and funny; fine for a toddler.</t>
  </si>
  <si>
    <t xml:space="preserve">Sometimes (TouringPlans lists one; not always open)</t>
  </si>
  <si>
    <t xml:space="preserve">Despicable Me Minion Mayhem, Universal Studios Hollywood (Upper Lot, Super Silly Fun Land) - same ride.</t>
  </si>
  <si>
    <t xml:space="preserve">#5 of 13</t>
  </si>
  <si>
    <t xml:space="preserve">World Expo</t>
  </si>
  <si>
    <t xml:space="preserve">MEN IN BLACK Alien Attack</t>
  </si>
  <si>
    <t xml:space="preserve">Interactive shooter dark ride (spinning cars)</t>
  </si>
  <si>
    <t xml:space="preserve">42"-48" need a supervising companion.</t>
  </si>
  <si>
    <t xml:space="preserve">Men in Black</t>
  </si>
  <si>
    <t xml:space="preserve">Grown-ups only: Men in Black (1997), PG-13 - gooey alien violence; not for a toddler.</t>
  </si>
  <si>
    <t xml:space="preserve">Same kind of ride as Buzz Lightyear Astro Blasters (Disneyland): spinning cars with blasters and scores. Different franchise and bigger physical sets.</t>
  </si>
  <si>
    <t xml:space="preserve">#6 of 13</t>
  </si>
  <si>
    <t xml:space="preserve">Production Central</t>
  </si>
  <si>
    <t xml:space="preserve">TRANSFORMERS: The Ride-3D</t>
  </si>
  <si>
    <t xml:space="preserve">3D motion-base dark ride</t>
  </si>
  <si>
    <t xml:space="preserve">40"-48" need a supervising companion.</t>
  </si>
  <si>
    <t xml:space="preserve">Transformers (Michael Bay films)</t>
  </si>
  <si>
    <t xml:space="preserve">Grown-ups only: Transformers (2007), PG-13 - loud robot combat; too intense for a toddler, who is too short anyway.</t>
  </si>
  <si>
    <t xml:space="preserve">TRANSFORMERS: The Ride-3D, Universal Studios Hollywood (Lower Lot) - same ride.</t>
  </si>
  <si>
    <t xml:space="preserve">#7 of 13</t>
  </si>
  <si>
    <t xml:space="preserve">Springfield: Home of The Simpsons</t>
  </si>
  <si>
    <t xml:space="preserve">The Simpsons Ride</t>
  </si>
  <si>
    <t xml:space="preserve">Motion-simulator ride (dome screen)</t>
  </si>
  <si>
    <t xml:space="preserve">The Simpsons</t>
  </si>
  <si>
    <t xml:space="preserve">Grown-ups only: The Simpsons (TV series, 1989-), TV-PG, or The Simpsons Movie (2007), PG-13 - satirical humor, and the ride is rough on motion-sensitive riders.</t>
  </si>
  <si>
    <t xml:space="preserve">Occasionally (not a regular single-rider line)</t>
  </si>
  <si>
    <t xml:space="preserve">The Simpsons Ride, Universal Studios Hollywood (Upper Lot) - same ride.</t>
  </si>
  <si>
    <t xml:space="preserve">#8 of 13</t>
  </si>
  <si>
    <t xml:space="preserve">Reports in July 2026 say Universal's Simpsons license could end around 2027-28, which would close the ride and Springfield. No closing date has been announced, so it should be open in Nov/Dec 2026.</t>
  </si>
  <si>
    <t xml:space="preserve">Kang &amp; Kodos' Twirl 'n' Hurl</t>
  </si>
  <si>
    <t xml:space="preserve">Spinner (Dumbo-style flat ride)</t>
  </si>
  <si>
    <t xml:space="preserve">The Simpsons (Kang &amp; Kodos aliens)</t>
  </si>
  <si>
    <t xml:space="preserve">Optional: The Simpsons 'Treehouse of Horror' episodes (TV-PG/TV-14), where Kang &amp; Kodos appear. Not needed for a toddler; the ride itself is gentle.</t>
  </si>
  <si>
    <t xml:space="preserve">Only a generic ride-type match: The Simpsons Ride, Universal Studios Hollywood. The ride itself is like Dumbo the Flying Elephant (Disneyland).</t>
  </si>
  <si>
    <t xml:space="preserve">#9 of 13</t>
  </si>
  <si>
    <t xml:space="preserve">A good toddler ride with Florence. Shares the possible 2027-28 Simpsons license end (no date announced).</t>
  </si>
  <si>
    <t xml:space="preserve">DreamWorks Land</t>
  </si>
  <si>
    <t xml:space="preserve">Trolls Trollercoaster</t>
  </si>
  <si>
    <t xml:space="preserve">Outdoor family (junior) coaster</t>
  </si>
  <si>
    <t xml:space="preserve">Children under 48" need a supervising companion. Florence (35.5") is just under the minimum and will likely be turned away unless she grows about half an inch by the trip; have her measured at the ride.</t>
  </si>
  <si>
    <t xml:space="preserve">Trolls (DreamWorks)</t>
  </si>
  <si>
    <t xml:space="preserve">Trolls (2016), PG - very mild and musical; toddler-friendly.</t>
  </si>
  <si>
    <t xml:space="preserve">Only a generic ride-type match: Similar small family coaster to Gadget's Go Coaster (Disneyland, Mickey's Toontown).</t>
  </si>
  <si>
    <t xml:space="preserve">#10 of 13</t>
  </si>
  <si>
    <t xml:space="preserve">The only ride in DreamWorks Land (opened June 2024, replacing Woody Woodpecker's KidZone). The land's other attractions are playgrounds, character meets and shows.</t>
  </si>
  <si>
    <t xml:space="preserve">Illumination's Villain-Con Minion Blast</t>
  </si>
  <si>
    <t xml:space="preserve">Interactive shooter ride on a moving walkway (screen-based)</t>
  </si>
  <si>
    <t xml:space="preserve">No minimum. Children under 48" need a supervising companion; no hand-held infants.</t>
  </si>
  <si>
    <t xml:space="preserve">Minions / Despicable Me (Illumination)</t>
  </si>
  <si>
    <t xml:space="preserve">Minions (2015), PG - the Villain-Con setting comes from this film; mild slapstick, fine for a toddler.</t>
  </si>
  <si>
    <t xml:space="preserve">Despicable Me Minion Mayhem and Silly Swirly Fun Ride, Universal Studios Hollywood (Super Silly Fun Land).</t>
  </si>
  <si>
    <t xml:space="preserve">#11 of 13</t>
  </si>
  <si>
    <t xml:space="preserve">One of the few rides with no height minimum, but a toddler can't really aim the blaster; loud and busy.</t>
  </si>
  <si>
    <t xml:space="preserve">Race Through New York Starring Jimmy Fallon</t>
  </si>
  <si>
    <t xml:space="preserve">3D motion-simulator theater</t>
  </si>
  <si>
    <t xml:space="preserve">The Tonight Show Starring Jimmy Fallon</t>
  </si>
  <si>
    <t xml:space="preserve">Not needed: The Tonight Show Starring Jimmy Fallon (NBC, 2014-), TV-14 talk show. Not scary, but Florence is too short.</t>
  </si>
  <si>
    <t xml:space="preserve">Universal Express (free Express Unlimited for Hard Rock, Portofino Bay &amp; Royal Pacific hotel guests); standby normally waits in a themed lobby using color-coded group cards rather than a traditional line</t>
  </si>
  <si>
    <t xml:space="preserve">#13 of 13 (tied for last with Fast &amp; Furious - Supercharged; the blog has no #12)</t>
  </si>
  <si>
    <t xml:space="preserve">WiD's ride-only rank is 12: Fast &amp; Furious - Supercharged, its tie partner, has now closed. Usually a short wait.</t>
  </si>
  <si>
    <t xml:space="preserve">Islands of Adventure</t>
  </si>
  <si>
    <t xml:space="preserve">Marvel Super Hero Island</t>
  </si>
  <si>
    <t xml:space="preserve">The Amazing Adventures of Spider-Man</t>
  </si>
  <si>
    <t xml:space="preserve">3D motion-simulator dark ride</t>
  </si>
  <si>
    <t xml:space="preserve">Under 48" needs a supervising companion (14+)</t>
  </si>
  <si>
    <t xml:space="preserve">Marvel's Spider-Man (comics version)</t>
  </si>
  <si>
    <t xml:space="preserve">Spider-Man: Into the Spider-Verse (2018), PG. Grown-ups and older kids only: dark and loud, with villains, a simulated 400-ft 'fall' and 3D glasses. Too much for a toddler.</t>
  </si>
  <si>
    <t xml:space="preserve">Universal Express (free Express Unlimited with Hard Rock / Portofino Bay / Royal Pacific stays)</t>
  </si>
  <si>
    <t xml:space="preserve">DCA's WEB SLINGERS: A Spider-Man Adventure (Avengers Campus) is a different, interactive web-slinging screen ride</t>
  </si>
  <si>
    <t xml:space="preserve">The Incredible Hulk Coaster</t>
  </si>
  <si>
    <t xml:space="preserve">Launched outdoor coaster (inversions)</t>
  </si>
  <si>
    <t xml:space="preserve">Marvel's The Incredible Hulk</t>
  </si>
  <si>
    <t xml:space="preserve">Grown-ups only: The Incredible Hulk (2008), PG-13. The ride doesn't need a backstory.</t>
  </si>
  <si>
    <t xml:space="preserve">No Hulk ride in California</t>
  </si>
  <si>
    <t xml:space="preserve">Doctor Doom's Fearfall</t>
  </si>
  <si>
    <t xml:space="preserve">Launch tower / drop ride</t>
  </si>
  <si>
    <t xml:space="preserve">52" per Universal's official ride page (some older lists say 51")</t>
  </si>
  <si>
    <t xml:space="preserve">Marvel's Fantastic Four (Doctor Doom)</t>
  </si>
  <si>
    <t xml:space="preserve">Grown-ups only: The Fantastic Four: First Steps (2025), PG. Optional, since the ride has almost no story.</t>
  </si>
  <si>
    <t xml:space="preserve">Not the same as DCA's Guardians of the Galaxy – Mission: BREAKOUT! (a dark-ride drop tower with a different IP and experience)</t>
  </si>
  <si>
    <t xml:space="preserve">Storm Force Accelatron</t>
  </si>
  <si>
    <t xml:space="preserve">Spinning teacup-style ride</t>
  </si>
  <si>
    <t xml:space="preserve">No minimum. Under 48" needs a supervising companion (14+)</t>
  </si>
  <si>
    <t xml:space="preserve">Marvel's X-Men (Storm)</t>
  </si>
  <si>
    <t xml:space="preserve">Optional: X-Men: The Animated Series (1992), TV-Y7. Cartoon fights may be too intense for a toddler, and the ride itself has no story to speak of.</t>
  </si>
  <si>
    <t xml:space="preserve">Only a generic ride-type match: Similar spinning-cup experience to Mad Tea Party (Disneyland)</t>
  </si>
  <si>
    <t xml:space="preserve">One of the few rides Florence can do now. It spins hard if you crank the wheel, so you control the intensity.</t>
  </si>
  <si>
    <t xml:space="preserve">Toon Lagoon</t>
  </si>
  <si>
    <t xml:space="preserve">Dudley Do-Right's Ripsaw Falls</t>
  </si>
  <si>
    <t xml:space="preserve">Log flume (big drop, soaking)</t>
  </si>
  <si>
    <t xml:space="preserve">Dudley Do-Right (Rocky &amp; Bullwinkle cartoons)</t>
  </si>
  <si>
    <t xml:space="preserve">Grown-ups only. The Rocky and Bullwinkle Show (1959), TV-G: the 'Dudley Do-Right of the Mounties' segments are gentle slapstick.</t>
  </si>
  <si>
    <t xml:space="preserve">Only a generic ride-type match: Log flume with a big drop, broadly like Tiana's Bayou Adventure (Disneyland), but much wetter and an outdoor cartoon theme</t>
  </si>
  <si>
    <t xml:space="preserve">You will get soaked, which is chilly in December. TouringPlans lists no 2026 closures (its last refurb was Oct 6–31, 2025), but water rides sometimes close on cold days or for unannounced seasonal maintenance.</t>
  </si>
  <si>
    <t xml:space="preserve">Popeye &amp; Bluto's Bilge-Rat Barges</t>
  </si>
  <si>
    <t xml:space="preserve">River rapids raft ride (soaking)</t>
  </si>
  <si>
    <t xml:space="preserve">Popeye the Sailor (King Features / Fleischer cartoons)</t>
  </si>
  <si>
    <t xml:space="preserve">Grown-ups only. Popeye the Sailor cartoon shorts (1930s Fleischer), unrated and harmless slapstick.</t>
  </si>
  <si>
    <t xml:space="preserve">Same kind of round-raft rapids ride as Grizzly River Run (Disney California Adventure), but wetter</t>
  </si>
  <si>
    <t xml:space="preserve">Annual refurbishment Jan 4 – Feb 2, 2027, so it should be open for a late Nov / early Dec visit. Expect to be drenched; chilly in December.</t>
  </si>
  <si>
    <t xml:space="preserve">Skull Island</t>
  </si>
  <si>
    <t xml:space="preserve">Skull Island: Reign of Kong</t>
  </si>
  <si>
    <t xml:space="preserve">3D truck-safari dark ride (screens + animatronics)</t>
  </si>
  <si>
    <t xml:space="preserve">Under 48" needs a supervising companion (14+). Florence (35.5") is just under 36". Have her measured at the ride; she may reach 36" by December</t>
  </si>
  <si>
    <t xml:space="preserve">King Kong (Universal)</t>
  </si>
  <si>
    <t xml:space="preserve">King Kong (2005), PG-13. Not for a toddler: Universal warns of 'frightening images' (live-actor scare in the queue, giant bugs, dinosaurs, a huge Kong animatronic, dark and loud).</t>
  </si>
  <si>
    <t xml:space="preserve">Universal Studios Hollywood's Studio Tour has the 'King Kong 360 3-D' segment, which uses similar screen technology but is a shorter, different scene</t>
  </si>
  <si>
    <t xml:space="preserve">Jurassic Park</t>
  </si>
  <si>
    <t xml:space="preserve">Jurassic Park River Adventure</t>
  </si>
  <si>
    <t xml:space="preserve">Boat dark ride with 85-ft plunge</t>
  </si>
  <si>
    <t xml:space="preserve">Jurassic Park (1993 film)</t>
  </si>
  <si>
    <t xml:space="preserve">Grown-ups only: Jurassic Park (1993), PG-13. The T. rex finale and drop are scary.</t>
  </si>
  <si>
    <t xml:space="preserve">Universal Studios Hollywood's Jurassic World—The Ride is the same river-boat ride system and big final drop, rethemed in 2019 to Jurassic World (Indominus rex, Mosasaurus). The Orlando version keeps the classic Jurassic Park theme</t>
  </si>
  <si>
    <t xml:space="preserve">CLOSED for a long refurbishment since Jan 5, 2026. Universal's official ride page (checked Oct 14, 2026) now says it reopens DECEMBER 17, 2026, a delay from the earlier Nov 20 date, so it will likely be closed for a late Nov / early Dec visit. WiD's 'Top 20 WDW &amp; Universal Orlando Rides' (Jan 2026) ranks it #19 of 20.</t>
  </si>
  <si>
    <t xml:space="preserve">Jurassic World VelociCoaster</t>
  </si>
  <si>
    <t xml:space="preserve">Jurassic World (2015 film)</t>
  </si>
  <si>
    <t xml:space="preserve">Grown-ups only: Jurassic World (2015), PG-13.</t>
  </si>
  <si>
    <t xml:space="preserve">Universal Studios Hollywood's Jurassic World—The Ride is a boat ride, not a coaster</t>
  </si>
  <si>
    <t xml:space="preserve">Lockers are mandatory (no loose articles). WiD's 'Top 20 WDW &amp; Universal Orlando Rides' (Jan 2026) ranks it #16 of 20.</t>
  </si>
  <si>
    <t xml:space="preserve">Pteranodon Flyers</t>
  </si>
  <si>
    <t xml:space="preserve">Kiddie suspended swinging coaster</t>
  </si>
  <si>
    <t xml:space="preserve">Riders must be 36–56". Guests over 56" may ride only with a child 36–56". Under 48" needs a supervising companion (14+). Florence (35.5") is just under 36". Have her measured at the ride; she may reach 36" by December</t>
  </si>
  <si>
    <t xml:space="preserve">No viewing needed: the ride has no story. The Jurassic films (PG-13) are too scary for a toddler.</t>
  </si>
  <si>
    <t xml:space="preserve">Not on Express (standby only; hotel Express Unlimited doesn't cover it)</t>
  </si>
  <si>
    <t xml:space="preserve">No Jurassic kiddie ride in California</t>
  </si>
  <si>
    <t xml:space="preserve">Low capacity with notoriously slow lines; go early. A good pick if Florence measures 36".</t>
  </si>
  <si>
    <t xml:space="preserve">The Wizarding World of Harry Potter – Hogsmeade</t>
  </si>
  <si>
    <t xml:space="preserve">Harry Potter and the Forbidden Journey</t>
  </si>
  <si>
    <t xml:space="preserve">Robotic-arm dark ride (screens + sets)</t>
  </si>
  <si>
    <t xml:space="preserve">Harry Potter films</t>
  </si>
  <si>
    <t xml:space="preserve">Grown-ups only: Harry Potter and the Sorcerer's Stone (2001), PG, plus Chamber of Secrets (2002, PG) for the spiders and Prisoner of Azkaban (2004, PG) for the dementors.</t>
  </si>
  <si>
    <t xml:space="preserve">Universal Studios Hollywood has the same ride. Hollywood briefly ran it in 3D (2016) but dropped that; both now run the same 4K non-3D film. Orlando's castle queue differs slightly</t>
  </si>
  <si>
    <t xml:space="preserve">TouringPlans lists a refurbishment Feb 8–19, 2027 (after your trip). Its last refurb was Nov 10–20, 2025. Child swap is available. WiD's 'Top 20 WDW &amp; Universal Orlando Rides' (Jan 2026) ranks it #5 of 20, the highest Islands of Adventure ride.</t>
  </si>
  <si>
    <t xml:space="preserve">Hagrid's Magical Creatures Motorbike Adventure</t>
  </si>
  <si>
    <t xml:space="preserve">Multi-launch story coaster</t>
  </si>
  <si>
    <t xml:space="preserve">Harry Potter films (Care of Magical Creatures)</t>
  </si>
  <si>
    <t xml:space="preserve">Grown-ups only: Harry Potter and the Sorcerer's Stone (2001), PG, for Hagrid and his motorbike.</t>
  </si>
  <si>
    <t xml:space="preserve">Not on Express (Universal removed Express July 1, 2026, about a year after adding it; standby only)</t>
  </si>
  <si>
    <t xml:space="preserve">Uncertain. It has a single-rider line, but that line has often been closed or used for Express. Unclear whether it reopened after July 2026; ask at the entrance or check the app</t>
  </si>
  <si>
    <t xml:space="preserve">Universal Studios Hollywood has Forbidden Journey and Hippogriff, but no Hagrid's coaster</t>
  </si>
  <si>
    <t xml:space="preserve">Usually the longest wait in the park (~90 min average per Theme Park Shark, 2026). Rope-drop it. WiD's 'Top 20 WDW &amp; Universal Orlando Rides' (Jan 2026) ranks it #6 of 20.</t>
  </si>
  <si>
    <t xml:space="preserve">Flight of the Hippogriff</t>
  </si>
  <si>
    <t xml:space="preserve">Family junior coaster</t>
  </si>
  <si>
    <t xml:space="preserve">Harry Potter (Buckbeak, from Prisoner of Azkaban)</t>
  </si>
  <si>
    <t xml:space="preserve">Harry Potter and the Prisoner of Azkaban (2004), PG. Show a toddler only the Buckbeak clip; the film has scary dementors.</t>
  </si>
  <si>
    <t xml:space="preserve">Universal Studios Hollywood has an essentially identical Flight of the Hippogriff family coaster</t>
  </si>
  <si>
    <t xml:space="preserve">Probably Florence's first coaster if she reaches 36".</t>
  </si>
  <si>
    <t xml:space="preserve">Hogwarts Express – Hogsmeade Station</t>
  </si>
  <si>
    <t xml:space="preserve">Train ride with window projections (to King's Cross, Universal Studios Florida)</t>
  </si>
  <si>
    <t xml:space="preserve">Harry Potter and the Sorcerer's Stone (2001), PG. The ride is mostly mild window scenery and characters; some brief dark or spooky moments, e.g. Dementors in the other direction.</t>
  </si>
  <si>
    <t xml:space="preserve">Universal Express (free Express Unlimited with Hard Rock / Portofino Bay / Royal Pacific stays); requires a Park-to-Park ticket</t>
  </si>
  <si>
    <t xml:space="preserve">No Hogwarts Express ride in California (Hollywood has only a static train prop)</t>
  </si>
  <si>
    <t xml:space="preserve">SHARED with Universal Studios Florida: it runs between Hogsmeade (IOA) and King's Cross (USF), and riding REQUIRES A PARK-TO-PARK TICKET. Each direction shows a different show. TouringPlans lists a one-day closure on Nov 4, 2026 only; not affected for a late Nov / early Dec visit.</t>
  </si>
  <si>
    <t xml:space="preserve">Seuss Landing</t>
  </si>
  <si>
    <t xml:space="preserve">The Cat in the Hat</t>
  </si>
  <si>
    <t xml:space="preserve">Spinning-couch dark ride</t>
  </si>
  <si>
    <t xml:space="preserve">Dr. Seuss, The Cat in the Hat</t>
  </si>
  <si>
    <t xml:space="preserve">The Cat in the Hat (Dr. Seuss book, 1957), not rated. Read the book, not the 2003 PG film. The ride is dark, loud and spins a bit, but is mostly fine for toddlers.</t>
  </si>
  <si>
    <t xml:space="preserve">No Seuss rides in California</t>
  </si>
  <si>
    <t xml:space="preserve">One Fish, Two Fish, Red Fish, Blue Fish</t>
  </si>
  <si>
    <t xml:space="preserve">Dumbo-style flying spinner (with water squirts)</t>
  </si>
  <si>
    <t xml:space="preserve">Dr. Seuss, One Fish Two Fish Red Fish Blue Fish</t>
  </si>
  <si>
    <t xml:space="preserve">One Fish Two Fish Red Fish Blue Fish (Dr. Seuss book, 1960), not rated. Toddler-friendly.</t>
  </si>
  <si>
    <t xml:space="preserve">Only a generic ride-type match: Same ride type as Dumbo the Flying Elephant (Disneyland)</t>
  </si>
  <si>
    <t xml:space="preserve">Follow the song's cues to dodge the water squirts. Florence can ride now.</t>
  </si>
  <si>
    <t xml:space="preserve">Caro-Seuss-el</t>
  </si>
  <si>
    <t xml:space="preserve">Carousel (Seuss creatures)</t>
  </si>
  <si>
    <t xml:space="preserve">Dr. Seuss characters</t>
  </si>
  <si>
    <t xml:space="preserve">Dr. Seuss books, e.g. If I Ran the Zoo (1950), not rated. Toddler-friendly.</t>
  </si>
  <si>
    <t xml:space="preserve">Only a generic ride-type match: Carousel, like King Arthur Carrousel (Disneyland) or Jessie's Critter Carousel (DCA)</t>
  </si>
  <si>
    <t xml:space="preserve">Florence can ride now.</t>
  </si>
  <si>
    <t xml:space="preserve">The High in the Sky Seuss Trolley Train Ride!</t>
  </si>
  <si>
    <t xml:space="preserve">Elevated slow trolley ride</t>
  </si>
  <si>
    <t xml:space="preserve">Dr. Seuss books</t>
  </si>
  <si>
    <t xml:space="preserve">Any Dr. Seuss picture book, e.g. The Sneetches (1961), not rated. Gentle, toddler-friendly.</t>
  </si>
  <si>
    <t xml:space="preserve">Two tracks with slightly different routes. Low capacity, so the line moves slowly.</t>
  </si>
  <si>
    <t xml:space="preserve">Epic Universe</t>
  </si>
  <si>
    <t xml:space="preserve">Ministry of Magic (Harry Potter)</t>
  </si>
  <si>
    <t xml:space="preserve">Harry Potter and the Battle at the Ministry</t>
  </si>
  <si>
    <t xml:space="preserve">Trackless lift-vehicle dark ride</t>
  </si>
  <si>
    <t xml:space="preserve">Harry Potter (set just after Deathly Hallows); the land is 1920s Paris from Fantastic Beasts</t>
  </si>
  <si>
    <t xml:space="preserve">Order of the Phoenix (2007), PG-13: introduces Umbridge and the Ministry of Magic. Grown-ups only.</t>
  </si>
  <si>
    <t xml:space="preserve">Universal Express (since Aug 2025)</t>
  </si>
  <si>
    <t xml:space="preserve">Universal Studios Hollywood has different HP rides (Forbidden Journey, Hippogriff)</t>
  </si>
  <si>
    <t xml:space="preserve">#1 of 11</t>
  </si>
  <si>
    <t xml:space="preserve">Wandering in Disney's #1 in the park. Single rider skips the pre-shows, so don't use it on your first ride.</t>
  </si>
  <si>
    <t xml:space="preserve">Dark Universe</t>
  </si>
  <si>
    <t xml:space="preserve">Monsters Unchained: The Frankenstein Experiment</t>
  </si>
  <si>
    <t xml:space="preserve">Robot-arm dark ride</t>
  </si>
  <si>
    <t xml:space="preserve">Universal Classic Monsters (Frankenstein, Dracula, etc.)</t>
  </si>
  <si>
    <t xml:space="preserve">Frankenstein (1931) / Bride of Frankenstein (1935). Grown-ups only.</t>
  </si>
  <si>
    <t xml:space="preserve">Universal Express</t>
  </si>
  <si>
    <t xml:space="preserve">#2 of 11</t>
  </si>
  <si>
    <t xml:space="preserve">Celestial Park</t>
  </si>
  <si>
    <t xml:space="preserve">Stardust Racers</t>
  </si>
  <si>
    <t xml:space="preserve">Dual-launch racing coaster</t>
  </si>
  <si>
    <t xml:space="preserve">None (original)</t>
  </si>
  <si>
    <t xml:space="preserve">#3 of 11</t>
  </si>
  <si>
    <t xml:space="preserve">Super Nintendo World – Donkey Kong Country</t>
  </si>
  <si>
    <t xml:space="preserve">Mine-Cart Madness</t>
  </si>
  <si>
    <t xml:space="preserve">Family coaster with mine-cart 'jumps'</t>
  </si>
  <si>
    <t xml:space="preserve">Donkey Kong Country (Nintendo)</t>
  </si>
  <si>
    <t xml:space="preserve">The Super Mario Bros. Movie (2023), PG, which features Donkey Kong. Florence can't ride yet, but can see Donkey Kong's land.</t>
  </si>
  <si>
    <t xml:space="preserve">Otherwise only at Universal Studios Japan</t>
  </si>
  <si>
    <t xml:space="preserve">#4 of 11</t>
  </si>
  <si>
    <t xml:space="preserve">Super Nintendo World</t>
  </si>
  <si>
    <t xml:space="preserve">Mario Kart: Bowser's Challenge</t>
  </si>
  <si>
    <t xml:space="preserve">AR/3D interactive dark ride</t>
  </si>
  <si>
    <t xml:space="preserve">Mario Kart / Super Mario (Nintendo)</t>
  </si>
  <si>
    <t xml:space="preserve">The Super Mario Bros. Movie (2023), PG: Mario, Bowser, and a Rainbow Road kart race.</t>
  </si>
  <si>
    <t xml:space="preserve">Same ride at Universal Studios Hollywood's Super Nintendo World</t>
  </si>
  <si>
    <t xml:space="preserve">#5 of 11</t>
  </si>
  <si>
    <t xml:space="preserve">Isle of Berk (How to Train Your Dragon)</t>
  </si>
  <si>
    <t xml:space="preserve">Hiccup's Wing Gliders</t>
  </si>
  <si>
    <t xml:space="preserve">Launched family coaster</t>
  </si>
  <si>
    <t xml:space="preserve">How to Train Your Dragon</t>
  </si>
  <si>
    <t xml:space="preserve">How to Train Your Dragon (2010, animated), PG.</t>
  </si>
  <si>
    <t xml:space="preserve">Yes (reported dropped at times)</t>
  </si>
  <si>
    <t xml:space="preserve">#6 of 11</t>
  </si>
  <si>
    <t xml:space="preserve">Single rider availability has been inconsistent; check the app.</t>
  </si>
  <si>
    <t xml:space="preserve">Constellation Carousel</t>
  </si>
  <si>
    <t xml:space="preserve">No minimum; under 48" need a supervising companion</t>
  </si>
  <si>
    <t xml:space="preserve">None (original constellation creatures)</t>
  </si>
  <si>
    <t xml:space="preserve">#7 of 11</t>
  </si>
  <si>
    <t xml:space="preserve">Best at night, when the ceiling lights up.</t>
  </si>
  <si>
    <t xml:space="preserve">Curse of the Werewolf</t>
  </si>
  <si>
    <t xml:space="preserve">Spinning family coaster</t>
  </si>
  <si>
    <t xml:space="preserve">40"–48" need a supervising companion</t>
  </si>
  <si>
    <t xml:space="preserve">Universal Classic Monsters: The Wolf Man (1941)</t>
  </si>
  <si>
    <t xml:space="preserve">The Wolf Man (1941). Grown-ups only.</t>
  </si>
  <si>
    <t xml:space="preserve">#8 of 11</t>
  </si>
  <si>
    <t xml:space="preserve">Yoshi's Adventure</t>
  </si>
  <si>
    <t xml:space="preserve">Slow kiddie ride</t>
  </si>
  <si>
    <t xml:space="preserve">Under 48" need a supervising companion</t>
  </si>
  <si>
    <t xml:space="preserve">Super Mario (Nintendo): Yoshi</t>
  </si>
  <si>
    <t xml:space="preserve">The Super Mario Galaxy Movie (2026), PG: Yoshi's first big movie role (voiced by Donald Glover).</t>
  </si>
  <si>
    <t xml:space="preserve">Otherwise only at Universal Studios Japan (not in Hollywood)</t>
  </si>
  <si>
    <t xml:space="preserve">#9 of 11</t>
  </si>
  <si>
    <t xml:space="preserve">Probably the one Epic Universe ride with a height limit that Florence can do.</t>
  </si>
  <si>
    <t xml:space="preserve">Dragon Racer's Rally</t>
  </si>
  <si>
    <t xml:space="preserve">Rider-controlled flying/barrel-roll ride</t>
  </si>
  <si>
    <t xml:space="preserve">Not on Express (as of last report)</t>
  </si>
  <si>
    <t xml:space="preserve">#10 of 11</t>
  </si>
  <si>
    <t xml:space="preserve">Low capacity.</t>
  </si>
  <si>
    <t xml:space="preserve">Fyre Drill</t>
  </si>
  <si>
    <t xml:space="preserve">Interactive water boat ride (you'll get wet)</t>
  </si>
  <si>
    <t xml:space="preserve">How to Train Your Dragon (the Viking village of Berk)</t>
  </si>
  <si>
    <t xml:space="preserve">How to Train Your Dragon (2010, animated), PG: Hiccup, Toothless and Berk. There's also a 2025 live-action remake (PG). Some intense dragon-battle scenes.</t>
  </si>
  <si>
    <t xml:space="preserve">#11 of 11</t>
  </si>
  <si>
    <t xml:space="preserve">Scheduled refurbishment Jan 25 – Feb 4, 2027.</t>
  </si>
  <si>
    <t xml:space="preserve">SeaWorld Orlando</t>
  </si>
  <si>
    <t xml:space="preserve">Sea of Mystery</t>
  </si>
  <si>
    <t xml:space="preserve">Mako</t>
  </si>
  <si>
    <t xml:space="preserve">Hyper coaster (B&amp;M)</t>
  </si>
  <si>
    <t xml:space="preserve">54" to ride; no companion option</t>
  </si>
  <si>
    <t xml:space="preserve">None (original shark theme)</t>
  </si>
  <si>
    <t xml:space="preserve">Quick Queue (Unlimited, 1 day; also in Unlimited PLUS &amp; Year-Round QQ)</t>
  </si>
  <si>
    <t xml:space="preserve">No official single rider line (unconfirmed reports of occasional use)</t>
  </si>
  <si>
    <t xml:space="preserve">Coaster-enthusiast consensus treats Mako as the park's standout ride (Orlando's tallest/fastest coaster at 200 ft / 73 mph). Florence too short.</t>
  </si>
  <si>
    <t xml:space="preserve">Sea of Legends</t>
  </si>
  <si>
    <t xml:space="preserve">Kraken</t>
  </si>
  <si>
    <t xml:space="preserve">Floorless coaster (B&amp;M)</t>
  </si>
  <si>
    <t xml:space="preserve">54" to ride</t>
  </si>
  <si>
    <t xml:space="preserve">None (original sea-monster legend)</t>
  </si>
  <si>
    <t xml:space="preserve">Only a generic ride-type match: SeaWorld San Diego's Emperor is also a B&amp;M floorless coaster, but a dive coaster rather than a looper.</t>
  </si>
  <si>
    <t xml:space="preserve">Florence too short.</t>
  </si>
  <si>
    <t xml:space="preserve">Sea of Shallows</t>
  </si>
  <si>
    <t xml:space="preserve">Manta</t>
  </si>
  <si>
    <t xml:space="preserve">Flying coaster (B&amp;M)</t>
  </si>
  <si>
    <t xml:space="preserve">None (original manta ray theme; aquarium in queue)</t>
  </si>
  <si>
    <t xml:space="preserve">Six Flags Magic Mountain's Tatsu is the same B&amp;M flying-coaster model. SeaWorld San Diego's 'Manta' shares only the name: it's a smaller Mack launched family coaster.</t>
  </si>
  <si>
    <t xml:space="preserve">Sea of Power</t>
  </si>
  <si>
    <t xml:space="preserve">Pipeline: The Surf Coaster</t>
  </si>
  <si>
    <t xml:space="preserve">Stand-up surf coaster (B&amp;M)</t>
  </si>
  <si>
    <t xml:space="preserve">54" to ride; 78" max</t>
  </si>
  <si>
    <t xml:space="preserve">None (original surfing theme)</t>
  </si>
  <si>
    <t xml:space="preserve">Opened 2023; the first B&amp;M surf coaster. Florence too short.</t>
  </si>
  <si>
    <t xml:space="preserve">Ice Breaker</t>
  </si>
  <si>
    <t xml:space="preserve">Launched coaster (Premier, forward/backward launches)</t>
  </si>
  <si>
    <t xml:space="preserve">48"-54" must ride with a supervising companion (14+); 54"+ may ride alone</t>
  </si>
  <si>
    <t xml:space="preserve">None (original Arctic theme)</t>
  </si>
  <si>
    <t xml:space="preserve">Only a generic ride-type match: SeaWorld San Diego's Electric Eel is a similar Premier multi-launch coaster (54" min).</t>
  </si>
  <si>
    <t xml:space="preserve">Journey to Atlantis</t>
  </si>
  <si>
    <t xml:space="preserve">Water coaster / flume (Mack)</t>
  </si>
  <si>
    <t xml:space="preserve">42"-48" must ride with a supervising companion (14+); 48"+ may ride alone</t>
  </si>
  <si>
    <t xml:space="preserve">None (original Atlantis legend)</t>
  </si>
  <si>
    <t xml:space="preserve">SeaWorld San Diego's Journey to Atlantis is a Mack water coaster of the same name with a big drop, but a shorter, different layout (reimagined with S.E.A. Collective/Kraken story Aug 2025).</t>
  </si>
  <si>
    <t xml:space="preserve">SeaWorld's official ride list currently shows reduced hours (weekdays 11am-4pm, weekends 11am-5pm). You will get wet; it can close on cold days. Florence too short.</t>
  </si>
  <si>
    <t xml:space="preserve">Sea of Fun</t>
  </si>
  <si>
    <t xml:space="preserve">Infinity Falls</t>
  </si>
  <si>
    <t xml:space="preserve">River rapids raft ride</t>
  </si>
  <si>
    <t xml:space="preserve">42"-48" must ride with a supervising companion (14+); 48"+ may ride alone; 77" max</t>
  </si>
  <si>
    <t xml:space="preserve">None (original rainforest/waterfall theme)</t>
  </si>
  <si>
    <t xml:space="preserve">Similar river-rapids experience to SeaWorld San Diego's Shipwreck Rapids and DCA's Grizzly River Run; Infinity Falls adds the tallest river-rapids drop (40 ft) and an elevator lift.</t>
  </si>
  <si>
    <t xml:space="preserve">Soaking water ride: it runs year-round, but expect it to be chilly or briefly closed on cold Dec days. Florence too short.</t>
  </si>
  <si>
    <t xml:space="preserve">Sea of Ice</t>
  </si>
  <si>
    <t xml:space="preserve">Penguin Trek</t>
  </si>
  <si>
    <t xml:space="preserve">Launched family coaster with dark-ride section (Mack)</t>
  </si>
  <si>
    <t xml:space="preserve">42" min; 78" max (no companion rule listed)</t>
  </si>
  <si>
    <t xml:space="preserve">None (original penguin/Antarctic theme; ride exits into live penguin habitat)</t>
  </si>
  <si>
    <t xml:space="preserve">Optional: Disneynature 'Penguins' (2019, G), a gentle real-penguin documentary, to build excitement. Not a tie-in.</t>
  </si>
  <si>
    <t xml:space="preserve">Not on Quick Queue Unlimited (1-time use in QQ Unlimited PLUS; unlimited in Year-Round QQ)</t>
  </si>
  <si>
    <t xml:space="preserve">Only a generic ride-type match: Similar family launched coasters with snow/polar theming: SeaWorld San Diego's Arctic Rescue (48" straddle coaster) and Manta (Mack family launch with media tunnel).</t>
  </si>
  <si>
    <t xml:space="preserve">Opened 2024 (replaced Antarctica: Empire of the Penguin). Florence too short (needs 42").</t>
  </si>
  <si>
    <t xml:space="preserve">Expedition Odyssey: Fire &amp; Ice</t>
  </si>
  <si>
    <t xml:space="preserve">Flying theater / motion simulator</t>
  </si>
  <si>
    <t xml:space="preserve">39" min (no companion rule listed)</t>
  </si>
  <si>
    <t xml:space="preserve">None (original Arctic research mission; ends at live beluga/walrus viewing)</t>
  </si>
  <si>
    <t xml:space="preserve">Not on Quick Queue Unlimited (1-time use in QQ Unlimited PLUS only)</t>
  </si>
  <si>
    <t xml:space="preserve">Same ride type as DCA's Soarin' (flying theater), with a different film. Nothing comparable at SeaWorld San Diego.</t>
  </si>
  <si>
    <t xml:space="preserve">Opened 2025 in the old Wild Arctic building. Closed Apr 10, 2026 for a new film, story and ride profile; reopened as 'Fire &amp; Ice' May 25, 2026. Indoor, weatherproof. Florence (35.5") is just under 39".</t>
  </si>
  <si>
    <t xml:space="preserve">Sea of Delight</t>
  </si>
  <si>
    <t xml:space="preserve">Sky Tower</t>
  </si>
  <si>
    <t xml:space="preserve">Rotating observation tower (Intamin gyro tower)</t>
  </si>
  <si>
    <t xml:space="preserve">No minimum (official page: 'No Limit'; the park's ride index has shown 48", so check at the ride)</t>
  </si>
  <si>
    <t xml:space="preserve">Not on Quick Queue</t>
  </si>
  <si>
    <t xml:space="preserve">SeaWorld San Diego's Skytower is the same type of rotating observation tower.</t>
  </si>
  <si>
    <t xml:space="preserve">Extra fee: $6 + tax (free for Silver/Gold/Platinum passholders). Closes in high wind or lightning.</t>
  </si>
  <si>
    <t xml:space="preserve">Flamingo Paddle Boats</t>
  </si>
  <si>
    <t xml:space="preserve">Pedal boat rental</t>
  </si>
  <si>
    <t xml:space="preserve">No minimum: children under 56" must ride with an adult; no hand-held infants</t>
  </si>
  <si>
    <t xml:space="preserve">None (flamingo-shaped boats)</t>
  </si>
  <si>
    <t xml:space="preserve">N/A (boats for 1-2 riders)</t>
  </si>
  <si>
    <t xml:space="preserve">Extra fee for a 20-minute ride: $12 for a 2-person boat / $8 for 1 person (passholders $6). Closes in bad weather.</t>
  </si>
  <si>
    <t xml:space="preserve">Sesame Street Land</t>
  </si>
  <si>
    <t xml:space="preserve">Super Grover's Box Car Derby</t>
  </si>
  <si>
    <t xml:space="preserve">Junior coaster (Vekoma)</t>
  </si>
  <si>
    <t xml:space="preserve">38"-41" must ride with a supervising companion</t>
  </si>
  <si>
    <t xml:space="preserve">Sesame Street (Super Grover)</t>
  </si>
  <si>
    <t xml:space="preserve">Sesame Street (TV-Y): watch Super Grover 2.0 segments or a 'Super Grover' episode clip. Very toddler-friendly.</t>
  </si>
  <si>
    <t xml:space="preserve">Sesame Place San Diego (Chula Vista) has a family coaster with the same name. SeaWorld San Diego no longer has Sesame Street rides.</t>
  </si>
  <si>
    <t xml:space="preserve">Florence (35.5") is 2.5" too short.</t>
  </si>
  <si>
    <t xml:space="preserve">Elmo's Choo Choo Train</t>
  </si>
  <si>
    <t xml:space="preserve">Kiddie train</t>
  </si>
  <si>
    <t xml:space="preserve">Official page: 'at least 36" or accompanied by a supervising companion'; the accessibility note says 42" to ride alone, with a companion (14+) if shorter. Whether under-36" riders can go with an adult is unclear.</t>
  </si>
  <si>
    <t xml:space="preserve">Sesame Street (Elmo)</t>
  </si>
  <si>
    <t xml:space="preserve">Sesame Street (TV-Y): any Elmo episode, or 'Elmo's World' segments. Ideal for toddlers.</t>
  </si>
  <si>
    <t xml:space="preserve">Sesame Place San Diego has different Elmo rides (Elmo's Rockin' Rockets). No matching train ride.</t>
  </si>
  <si>
    <t xml:space="preserve">Florence (35.5") is right at the line. Ask the attendant whether she can ride with an adult.</t>
  </si>
  <si>
    <t xml:space="preserve">Abby's Flower Tower</t>
  </si>
  <si>
    <t xml:space="preserve">Kiddie rotating tower (flower-pot gondolas)</t>
  </si>
  <si>
    <t xml:space="preserve">No minimum: under 42" must ride with a supervising companion (14+); no hand-held infants</t>
  </si>
  <si>
    <t xml:space="preserve">Sesame Street (Abby Cadabby)</t>
  </si>
  <si>
    <t xml:space="preserve">Sesame Street (TV-Y) / 'Abby's Flying Fairy School' (TV-Y, 2009-10), a short series that suits toddlers.</t>
  </si>
  <si>
    <t xml:space="preserve">Sesame Place San Diego's Abby's Fairy Flight is an Abby-themed swing ride, a different ride type.</t>
  </si>
  <si>
    <t xml:space="preserve">Florence can ride with an adult.</t>
  </si>
  <si>
    <t xml:space="preserve">Cookie Drop!</t>
  </si>
  <si>
    <t xml:space="preserve">Kiddie drop tower (Zamperla Jumpin' Star)</t>
  </si>
  <si>
    <t xml:space="preserve">No absolute minimum posted: shorter guests ride with a supervising companion (14+). The official page shows both 42" and 48" as the threshold to ride alone; no hand-held infants.</t>
  </si>
  <si>
    <t xml:space="preserve">Sesame Street (Cookie Monster)</t>
  </si>
  <si>
    <t xml:space="preserve">Sesame Street (TV-Y): Cookie Monster segments, or 'Cookie Monster's Foodie Truck' (TV-Y).</t>
  </si>
  <si>
    <t xml:space="preserve">Only a generic ride-type match: SeaWorld San Diego's Sea Dragon Drop (Rescue Jr. area) is a similar junior drop tower.</t>
  </si>
  <si>
    <t xml:space="preserve">Florence should be able to ride with an adult; confirm at the ride.</t>
  </si>
  <si>
    <t xml:space="preserve">Slimey's Slider</t>
  </si>
  <si>
    <t xml:space="preserve">Rockin' Tug (swinging/spinning boat, Zamperla)</t>
  </si>
  <si>
    <t xml:space="preserve">Sesame Street (Oscar the Grouch's worm Slimey)</t>
  </si>
  <si>
    <t xml:space="preserve">Sesame Street (TV-Y): any Oscar the Grouch episode featuring Slimey.</t>
  </si>
  <si>
    <t xml:space="preserve">Only a generic ride-type match: SeaWorld San Diego's Rescue Rafter (Rescue Jr., formerly Oscar's Rockin' Tug) is the same swinging-boat ride type. Sesame Place San Diego's Rub-A-Dub Sub is a spinning boat, also similar.</t>
  </si>
  <si>
    <t xml:space="preserve">Sunny Day Carousel</t>
  </si>
  <si>
    <t xml:space="preserve">No minimum: under 42" needs their own supervising companion (14+) standing beside them; hand-held infants on bench seats only</t>
  </si>
  <si>
    <t xml:space="preserve">Sesame Street characters</t>
  </si>
  <si>
    <t xml:space="preserve">Sesame Street (TV-Y): any episode.</t>
  </si>
  <si>
    <t xml:space="preserve">Sesame Place San Diego has a Sesame Street carousel with the same name. Carousels are also common at Disneyland and Knott's.</t>
  </si>
  <si>
    <t xml:space="preserve">Rides Florence can do now:</t>
  </si>
  <si>
    <t xml:space="preserve">Pre-trip watch list for Florence (rides she can do at her current height)</t>
  </si>
  <si>
    <t xml:space="preserve">Roughly easiest/most toddler-friendly first. The 'Can ride?' column looks up the Rides tab, so it follows the height cell.</t>
  </si>
  <si>
    <t xml:space="preserve">Watch</t>
  </si>
  <si>
    <t xml:space="preserve">Rating</t>
  </si>
  <si>
    <t xml:space="preserve">Sets up this ride</t>
  </si>
  <si>
    <t xml:space="preserve">Notes</t>
  </si>
  <si>
    <t xml:space="preserve">The Many Adventures of Winnie the Pooh (1977)</t>
  </si>
  <si>
    <t xml:space="preserve">G</t>
  </si>
  <si>
    <t xml:space="preserve">Very toddler-friendly; the Heffalumps &amp; Woozles dream is a bit trippy.</t>
  </si>
  <si>
    <t xml:space="preserve">Peter Pan (1953)</t>
  </si>
  <si>
    <t xml:space="preserve">Mild peril (Hook, the crocodile); Disney+ shows a content advisory for dated depictions.</t>
  </si>
  <si>
    <t xml:space="preserve">Dumbo (1941)</t>
  </si>
  <si>
    <t xml:space="preserve">The mother-separation scene is sad; Pink Elephants is surreal.</t>
  </si>
  <si>
    <t xml:space="preserve">Alice in Wonderland (1951)</t>
  </si>
  <si>
    <t xml:space="preserve">The Queen of Hearts is a bit shouty.</t>
  </si>
  <si>
    <t xml:space="preserve">The Little Mermaid (1989)</t>
  </si>
  <si>
    <t xml:space="preserve">Ursula can frighten toddlers (also briefly on the ride).</t>
  </si>
  <si>
    <t xml:space="preserve">Toy Story 2 (1999)</t>
  </si>
  <si>
    <t xml:space="preserve">Opens with Buzz vs. Zurg, which is the ride's story.</t>
  </si>
  <si>
    <t xml:space="preserve">Aladdin (1992)</t>
  </si>
  <si>
    <t xml:space="preserve">Jafar and the Cave of Wonders are briefly scary.</t>
  </si>
  <si>
    <t xml:space="preserve">Cinderella (1950)</t>
  </si>
  <si>
    <t xml:space="preserve">Optional; light theming.</t>
  </si>
  <si>
    <t xml:space="preserve">Classic Goofy cartoons</t>
  </si>
  <si>
    <t xml:space="preserve">Not rated</t>
  </si>
  <si>
    <t xml:space="preserve">Optional; harmless slapstick. Barnstormer is 35", so she's just over.</t>
  </si>
  <si>
    <t xml:space="preserve">Finding Nemo (2003)</t>
  </si>
  <si>
    <t xml:space="preserve">Shark/anglerfish scenes are a little scary.</t>
  </si>
  <si>
    <t xml:space="preserve">Ratatouille (2007)</t>
  </si>
  <si>
    <t xml:space="preserve">The ride's chase scenes are loud/dark in spots.</t>
  </si>
  <si>
    <t xml:space="preserve">Frozen (2013) + Frozen Fever short (2015)</t>
  </si>
  <si>
    <t xml:space="preserve">PG</t>
  </si>
  <si>
    <t xml:space="preserve">Wolves and Marshmallow the snow monster may scare her.</t>
  </si>
  <si>
    <t xml:space="preserve">The Three Caballeros (1944) or Donald Duck shorts</t>
  </si>
  <si>
    <t xml:space="preserve">Not rated (1944)</t>
  </si>
  <si>
    <t xml:space="preserve">Short, gentle ride; Donald familiarity is plenty.</t>
  </si>
  <si>
    <t xml:space="preserve">Bluey (any episodes)</t>
  </si>
  <si>
    <t xml:space="preserve">TV-Y</t>
  </si>
  <si>
    <t xml:space="preserve">Train to Bluey's Wild World, with Bluey audio on board.</t>
  </si>
  <si>
    <t xml:space="preserve">Minions (2015)</t>
  </si>
  <si>
    <t xml:space="preserve">Villain-Con comes from this film; mild slapstick.</t>
  </si>
  <si>
    <t xml:space="preserve">E.T. the Extra-Terrestrial (1982)</t>
  </si>
  <si>
    <t xml:space="preserve">Some tense/sad scenes (agents, sick E.T.), so watch together. E.T. is 34".</t>
  </si>
  <si>
    <t xml:space="preserve">The Cat in the Hat (Dr. Seuss book, 1957)</t>
  </si>
  <si>
    <t xml:space="preserve">Book</t>
  </si>
  <si>
    <t xml:space="preserve">Read the book, not the 2003 film. The ride is 36", so she may just make it by December.</t>
  </si>
  <si>
    <t xml:space="preserve">One Fish Two Fish Red Fish Blue Fish (book)</t>
  </si>
  <si>
    <t xml:space="preserve">Toddler-friendly.</t>
  </si>
  <si>
    <t xml:space="preserve">Any Dr. Seuss picture books</t>
  </si>
  <si>
    <t xml:space="preserve">Toddler-friendly; the Seuss Trolley (36") uses the same characters.</t>
  </si>
  <si>
    <t xml:space="preserve">The Super Mario Galaxy Movie (2026)</t>
  </si>
  <si>
    <t xml:space="preserve">Yoshi's big role. The 2023 Super Mario Bros. Movie (PG) covers the rest of Super Nintendo World.</t>
  </si>
  <si>
    <t xml:space="preserve">How to Train Your Dragon (2010, animated)</t>
  </si>
  <si>
    <t xml:space="preserve">Some intense dragon battles; Toothless and Berk feature heavily in the land.</t>
  </si>
  <si>
    <t xml:space="preserve">Sesame Street (any episode)</t>
  </si>
  <si>
    <t xml:space="preserve">Covers all of Sesame Street Land: Abby's Flower Tower, Cookie Drop!, Slimey's Slider, Elmo's Choo Choo Train.</t>
  </si>
  <si>
    <t xml:space="preserve">Attractions Wandering in Disney ranks that aren't rides (excluded from the Rides tab)</t>
  </si>
  <si>
    <t xml:space="preserve">Attraction</t>
  </si>
  <si>
    <t xml:space="preserve">Type</t>
  </si>
  <si>
    <t xml:space="preserve">Walt Disney's Enchanted Tiki Room</t>
  </si>
  <si>
    <t xml:space="preserve">Animatronic theater show</t>
  </si>
  <si>
    <t xml:space="preserve">#13 of 30</t>
  </si>
  <si>
    <t xml:space="preserve">Country Bear Musical Jamboree</t>
  </si>
  <si>
    <t xml:space="preserve">#14 of 30</t>
  </si>
  <si>
    <t xml:space="preserve">Walt Disney's Carousel of Progress</t>
  </si>
  <si>
    <t xml:space="preserve">Rotating animatronic theater show (closed July 6, 2026 until ~late spring 2027 for reimagining)</t>
  </si>
  <si>
    <t xml:space="preserve">#16 of 30</t>
  </si>
  <si>
    <t xml:space="preserve">Mickey's PhilharMagic</t>
  </si>
  <si>
    <t xml:space="preserve">3D film</t>
  </si>
  <si>
    <t xml:space="preserve">#17 of 30</t>
  </si>
  <si>
    <t xml:space="preserve">Monsters, Inc. Laugh Floor</t>
  </si>
  <si>
    <t xml:space="preserve">Interactive comedy show</t>
  </si>
  <si>
    <t xml:space="preserve">#18 of 30</t>
  </si>
  <si>
    <t xml:space="preserve">Swiss Family Treehouse</t>
  </si>
  <si>
    <t xml:space="preserve">Walk-through</t>
  </si>
  <si>
    <t xml:space="preserve">#22 of 30</t>
  </si>
  <si>
    <t xml:space="preserve">The Hall of Presidents</t>
  </si>
  <si>
    <t xml:space="preserve">#23 of 30</t>
  </si>
  <si>
    <t xml:space="preserve">Casey Jr. Splash 'N' Soak Station</t>
  </si>
  <si>
    <t xml:space="preserve">Water play area</t>
  </si>
  <si>
    <t xml:space="preserve">#29 of 30</t>
  </si>
  <si>
    <t xml:space="preserve">Impressions de France</t>
  </si>
  <si>
    <t xml:space="preserve">Film (World Showcase)</t>
  </si>
  <si>
    <t xml:space="preserve">#2 of 20</t>
  </si>
  <si>
    <t xml:space="preserve">Journey of Water, Inspired by Moana</t>
  </si>
  <si>
    <t xml:space="preserve">Walk-through water trail</t>
  </si>
  <si>
    <t xml:space="preserve">#9 of 20</t>
  </si>
  <si>
    <t xml:space="preserve">The American Adventure</t>
  </si>
  <si>
    <t xml:space="preserve">Audio-animatronic stage show</t>
  </si>
  <si>
    <t xml:space="preserve">#10 of 20</t>
  </si>
  <si>
    <t xml:space="preserve">Reflections of China</t>
  </si>
  <si>
    <t xml:space="preserve">Circle-Vision 360 film</t>
  </si>
  <si>
    <t xml:space="preserve">#12 of 20</t>
  </si>
  <si>
    <t xml:space="preserve">Canada Far and Wide</t>
  </si>
  <si>
    <t xml:space="preserve">#14 of 20</t>
  </si>
  <si>
    <t xml:space="preserve">Awesome Planet</t>
  </si>
  <si>
    <t xml:space="preserve">Film</t>
  </si>
  <si>
    <t xml:space="preserve">#15 of 20</t>
  </si>
  <si>
    <t xml:space="preserve">Turtle Talk with Crush</t>
  </si>
  <si>
    <t xml:space="preserve">Interactive show</t>
  </si>
  <si>
    <t xml:space="preserve">#16 of 20</t>
  </si>
  <si>
    <t xml:space="preserve">Disney &amp; Pixar Short Film Festival</t>
  </si>
  <si>
    <t xml:space="preserve">#19 of 20</t>
  </si>
  <si>
    <t xml:space="preserve">Beauty and the Beast Sing-Along</t>
  </si>
  <si>
    <t xml:space="preserve">Film / sing-along</t>
  </si>
  <si>
    <t xml:space="preserve">#20 of 20</t>
  </si>
  <si>
    <t xml:space="preserve">Maharajah Jungle Trek</t>
  </si>
  <si>
    <t xml:space="preserve">Walking trail (tigers, etc.)</t>
  </si>
  <si>
    <t xml:space="preserve">#4 of 8</t>
  </si>
  <si>
    <t xml:space="preserve">Gorilla Falls Exploration Trail</t>
  </si>
  <si>
    <t xml:space="preserve">Walking trail (gorillas, hippos)</t>
  </si>
  <si>
    <t xml:space="preserve">#5 of 8</t>
  </si>
  <si>
    <t xml:space="preserve">Zootopia: Better Zoogether!</t>
  </si>
  <si>
    <t xml:space="preserve">3D theater show</t>
  </si>
  <si>
    <t xml:space="preserve">#8 of 8</t>
  </si>
  <si>
    <t xml:space="preserve">Recently closed or closing (don't plan on these):</t>
  </si>
  <si>
    <t xml:space="preserve">The Liberty Square Riverboat (Liberty Belle) closed permanently in July 2025 (with Tom Sawyer Island and the Rivers of America), to make way for the Cars-themed Piston Peak National Park and Villains Land expansions. No rides have closed permanently in 2026. Walt Disney's Carousel of Progress (a theater show) closed July 6, 2026 for a reimagining and is due back in late spring 2027.</t>
  </si>
  <si>
    <t xml:space="preserve">DINOSAUR closed Feb 2, 2026 and TriceraTop Spin closed Jan 2026. DinoLand is becoming 'Tropical Americas', with 'Indiana Jones and the Myth of the Jade Serpent' expected around 2027.</t>
  </si>
  <si>
    <t xml:space="preserve">Hollywood Rip Ride Rockit closed permanently on Aug 18, 2025 (last rides Aug 17). Fast &amp; Furious - Supercharged closed permanently on Aug 17, 2026 (last day Aug 16), a year earlier than first announced. The new Fast &amp; Furious: Hollywood Drift coaster is under construction for 2027 and will not be open during a Nov/Dec 2026 visit. The live show Animal Actors on Location! also closes Nov 3, 2026.</t>
  </si>
  <si>
    <t xml:space="preserve">No Islands of Adventure ride closed permanently in 2025–2026. The Lost Continent area (no rides left; Mythos restaurant) is being phased out and demolished. Hagrid's lost Universal Express on July 1, 2026, and Jurassic Park River Adventure has been closed for refurbishment all of 2026 (official reopening Dec 17, 2026).</t>
  </si>
  <si>
    <t xml:space="preserve">No SeaWorld Orlando ride closed permanently in 2025-2026 (the last removal was Big Bird's Twirl 'N' Whirl in 2023). Expedition Odyssey's 2026 closure was only a retheme (reopened May 25, 2026 as 'Fire &amp; Ice'). The announced SEAQuest: Legends of the Deep suspended dark ride is not open. In Sept 2026 the park dropped its '2026' wording ('Surfaces Soon') and promos now say 'next year', so expect it in 2027 and not during a Nov/Dec 2026 visit.</t>
  </si>
  <si>
    <t xml:space="preserve">How to read the Rides tab</t>
  </si>
  <si>
    <t xml:space="preserve">Orange, struck-through ride name</t>
  </si>
  <si>
    <t xml:space="preserve">Likely closed during a late-Nov/early-Dec 2026 trip (Tiana's Bayou Adventure and Jurassic Park River Adventure). See its Status / notes.</t>
  </si>
  <si>
    <t xml:space="preserve">Blank = no minimum. Mission: SPACE lists the 40" Green side; Orange needs 44".</t>
  </si>
  <si>
    <t xml:space="preserve">Formula comparing the yellow cell on the Rides tab against Min height. Disney and Universal measure at the ride entrance, in shoes. Universal also requires a supervising companion for kids under 48" on most rides.</t>
  </si>
  <si>
    <t xml:space="preserve">Parent swap</t>
  </si>
  <si>
    <t xml:space="preserve">Disney (Rider Switch) and Universal (Child Swap) both let one adult ride while the other waits with Florence, and then the second adult rides without re-queuing. It's offered on most height-restricted rides.</t>
  </si>
  <si>
    <t xml:space="preserve">Line-skip (Disney)</t>
  </si>
  <si>
    <t xml:space="preserve">Lightning Lane Multi Pass: EPCOT has tiers (you pick 1 Tier 1 + 2 Tier 2 in advance); Animal Kingdom has no tiers. Cosmic Rewind and Flight of Passage are Single Pass only (paid separately, per ride). Tier assignments shift, so check the My Disney Experience app before you book.</t>
  </si>
  <si>
    <t xml:space="preserve">Line-skip (Magic Kingdom)</t>
  </si>
  <si>
    <t xml:space="preserve">Multi Pass has tiers like EPCOT. TRON and Seven Dwarfs Mine Train are Single Pass only.</t>
  </si>
  <si>
    <t xml:space="preserve">Line-skip (Universal)</t>
  </si>
  <si>
    <t xml:space="preserve">Universal Studios Florida &amp; Islands of Adventure: free Express Unlimited if you stay at Hard Rock, Portofino Bay or Royal Pacific (not Helios Grand or the cheaper hotels); otherwise buy Express. Hagrid's (since July 2026) and Pteranodon Flyers are NOT on Express. Hogwarts Express needs a park-to-park ticket. Epic Universe Express is its own paid product: one use per ride, about $130–$350+/day depending on the date. Free Express Unlimited for Universal's premier-hotel guests does NOT cover Epic Universe. Express list is from Universal's Aug 2025 expansion (12 attractions, everything but Dragon Racer's Rally).</t>
  </si>
  <si>
    <t xml:space="preserve">Line-skip (SeaWorld)</t>
  </si>
  <si>
    <t xml:space="preserve">Quick Queue Unlimited (1 day) covers the big coasters and water rides (Mako, Kraken, Manta, Pipeline, Ice Breaker, Journey to Atlantis, Infinity Falls). Penguin Trek and Expedition Odyssey are only in a pricier one-time-use bundle; nothing in Sesame Street Land is covered.</t>
  </si>
  <si>
    <t xml:space="preserve">Single rider</t>
  </si>
  <si>
    <t xml:space="preserve">Availability changes day to day at both resorts. Disney's single rider lines require every rider to be 7+. Epic Universe's lines are reported to save time unevenly.</t>
  </si>
  <si>
    <t xml:space="preserve">California duplicates</t>
  </si>
  <si>
    <t xml:space="preserve">Compared against Disneyland, Disney California Adventure (DCA), Universal Studios Hollywood, SeaWorld San Diego and Sesame Place San Diego. Generic ride types (teacups, carousels, kiddie coasters) are marked No even when California has one. Yes = essentially the same ride; Partial = same ride system or very similar experience; Same IP only = same franchise but a different ride.</t>
  </si>
  <si>
    <t xml:space="preserve">Wandering in Disney rank</t>
  </si>
  <si>
    <t xml:space="preserve">'Rides only' re-numbers the blog's list after dropping films/shows/trails. 'All attractions' is the blog's own number (it ranks films and walk-throughs but not live shows or character meets).</t>
  </si>
  <si>
    <t xml:space="preserve">Sources</t>
  </si>
  <si>
    <t xml:space="preserve">WiD – EPCOT (May 26, 2026)</t>
  </si>
  <si>
    <t xml:space="preserve">https://wanderingindisney.com/2026/05/26/epcot-attraction-rankings/</t>
  </si>
  <si>
    <t xml:space="preserve">WiD – Animal Kingdom (Aug 9, 2026)</t>
  </si>
  <si>
    <t xml:space="preserve">https://wanderingindisney.com/2026/08/09/disneys-animal-kingdom-attraction-rankings/</t>
  </si>
  <si>
    <t xml:space="preserve">WiD – Epic Universe (Jul 20, 2026)</t>
  </si>
  <si>
    <t xml:space="preserve">https://wanderingindisney.com/2026/07/20/epic-universe-attraction-rankings/</t>
  </si>
  <si>
    <t xml:space="preserve">Epic Universe heights</t>
  </si>
  <si>
    <t xml:space="preserve">https://www.universalorlando.com/web/en/us/plan-your-visit/hours-information/ride-height-requirements ; https://touringplans.com/epic-universe/attractions/height-requirements</t>
  </si>
  <si>
    <t xml:space="preserve">Epic Universe Express</t>
  </si>
  <si>
    <t xml:space="preserve">https://wdwnt.com/2025/08/two-more-rides-added-express-pass-epic-universe/</t>
  </si>
  <si>
    <t xml:space="preserve">Epic Universe single rider</t>
  </si>
  <si>
    <t xml:space="preserve">https://www.disneytouristblog.com/single-rider-lines-epic-universe-universal-orlando/</t>
  </si>
  <si>
    <t xml:space="preserve">EPCOT Lightning Lane / single rider</t>
  </si>
  <si>
    <t xml:space="preserve">https://www.mousehacking.com/blog/epcot-lightning-lanes-rides-and-strategy</t>
  </si>
  <si>
    <t xml:space="preserve">Animal Kingdom Lightning Lane</t>
  </si>
  <si>
    <t xml:space="preserve">https://www.mousehacking.com/blog/animal-kingdom-lightning-lanes-rides-and-strategy</t>
  </si>
  <si>
    <t xml:space="preserve">Everest single rider ending</t>
  </si>
  <si>
    <t xml:space="preserve">https://www.disneytouristblog.com/disney-world-confirms-single-rider-is-ending-at-expedition-everest/</t>
  </si>
  <si>
    <t xml:space="preserve">https://www.wdwinfo.com/news-stories/reimagined-soarin-across-america-now-open-at-disneyland/</t>
  </si>
  <si>
    <t xml:space="preserve">Wildlife Express / Bluey</t>
  </si>
  <si>
    <t xml:space="preserve">https://blogmickey.com/2026/05/bluey-audio-now-playing-on-wildlife-express-train-at-animal-kingdom/</t>
  </si>
  <si>
    <t xml:space="preserve">Spaceship Earth reimagining</t>
  </si>
  <si>
    <t xml:space="preserve">https://insidethemagic.net/2026/08/official-disney-reveals-historic-spaceship-earth-replacement-at-d23-after-43-years-sb1/</t>
  </si>
  <si>
    <t xml:space="preserve">WiD – Magic Kingdom (Oct 12, 2026)</t>
  </si>
  <si>
    <t xml:space="preserve">https://wanderingindisney.com/2026/10/12/magic-kingdom-attraction-rankings/</t>
  </si>
  <si>
    <t xml:space="preserve">WiD – Universal Studios FL (Jun 12, 2026)</t>
  </si>
  <si>
    <t xml:space="preserve">https://wanderingindisney.com/2026/06/12/universal-studios-florida-attraction-rankings/</t>
  </si>
  <si>
    <t xml:space="preserve">WiD – Islands of Adventure</t>
  </si>
  <si>
    <t xml:space="preserve">No ranking post exists. Four IOA rides appear in the blog's Top 20 WDW &amp; Universal Orlando rides list (noted per ride): https://wanderingindisney.com/2026/01/15/top-20-walt-disney-world-universal-orlando-rides/</t>
  </si>
  <si>
    <t xml:space="preserve">WiD – SeaWorld</t>
  </si>
  <si>
    <t xml:space="preserve">The blog doesn't cover SeaWorld, so those rides are unranked.</t>
  </si>
  <si>
    <t xml:space="preserve">Big Thunder 38" height</t>
  </si>
  <si>
    <t xml:space="preserve">https://www.wdwmagic.com/attractions/big-thunder-mountain-railroad/news/08apr2026-how-did-disney-lower-big-thunder-mountain-railroads-height-requirement.htm</t>
  </si>
  <si>
    <t xml:space="preserve">Universal ride heights</t>
  </si>
  <si>
    <t xml:space="preserve">https://www.universalorlando.com/web/en/us/plan-your-visit/hours-information/ride-height-requirements</t>
  </si>
  <si>
    <t xml:space="preserve">Fyre Drill refurb</t>
  </si>
  <si>
    <t xml:space="preserve">https://www.disneyfoodblog.com/2026/08/07/confirmed-a-popular-epic-universe-ride-is-closing-again/</t>
  </si>
  <si>
    <t xml:space="preserve">Caveat</t>
  </si>
  <si>
    <t xml:space="preserve">Researched Oct 13–14, 2026 from blogs and fan sites, not official park pages, for most line-skip and single-rider details. Check the official apps a week or two before the trip for refurbishment closures.</t>
  </si>
  <si>
    <t xml:space="preserve">More sources (per park)</t>
  </si>
  <si>
    <t xml:space="preserve">Magic Kingdom – Wandering in Disney – MK Lightning Lane Multi Pass tiers (Oct 2, 2026)</t>
  </si>
  <si>
    <t xml:space="preserve">https://wanderingindisney.com/2026/10/02/magic-kingdoms-lightning-lane-multi-pass/</t>
  </si>
  <si>
    <t xml:space="preserve">Magic Kingdom – Disney official – Big Thunder Mountain Railroad (38")</t>
  </si>
  <si>
    <t xml:space="preserve">https://disneyworld.disney.go.com/attractions/magic-kingdom/big-thunder-mountain-railroad/</t>
  </si>
  <si>
    <t xml:space="preserve">Magic Kingdom – Disney official – Seven Dwarfs Mine Train (38")</t>
  </si>
  <si>
    <t xml:space="preserve">https://disneyworld.disney.go.com/attractions/magic-kingdom/seven-dwarfs-mine-train/</t>
  </si>
  <si>
    <t xml:space="preserve">Magic Kingdom – Disney official – Space Mountain (44")</t>
  </si>
  <si>
    <t xml:space="preserve">https://disneyworld.disney.go.com/attractions/magic-kingdom/space-mountain/</t>
  </si>
  <si>
    <t xml:space="preserve">Magic Kingdom – Disney official – TRON Lightcycle / Run (48")</t>
  </si>
  <si>
    <t xml:space="preserve">https://disneyworld.disney.go.com/attractions/magic-kingdom/tron-lightcycle-run/</t>
  </si>
  <si>
    <t xml:space="preserve">Magic Kingdom – Disney official – Tiana's Bayou Adventure (40", refurb Nov 2)</t>
  </si>
  <si>
    <t xml:space="preserve">https://disneyworld.disney.go.com/attractions/magic-kingdom/tianas-bayou-adventure/</t>
  </si>
  <si>
    <t xml:space="preserve">Magic Kingdom – Disney official – Tomorrowland Speedway (32"/54")</t>
  </si>
  <si>
    <t xml:space="preserve">https://disneyworld.disney.go.com/attractions/magic-kingdom/tomorrowland-speedway/</t>
  </si>
  <si>
    <t xml:space="preserve">Magic Kingdom – Disney official – Walt Disney World Railroad (refurb notice)</t>
  </si>
  <si>
    <t xml:space="preserve">https://disneyworld.disney.go.com/attractions/magic-kingdom/walt-disney-world-railroad/</t>
  </si>
  <si>
    <t xml:space="preserve">Magic Kingdom – Disney Tourist Blog – Disney World refurbishment calendar (updated Oct 9, 2026)</t>
  </si>
  <si>
    <t xml:space="preserve">https://www.disneytouristblog.com/disney-world-refurbishments/</t>
  </si>
  <si>
    <t xml:space="preserve">Magic Kingdom – Disney Tourist Blog – Tiana's Bayou Adventure Dec 18 reopening</t>
  </si>
  <si>
    <t xml:space="preserve">https://disneytouristblog.com/tianas-bayou-adventure-gets-christmas-2026-reopening-date-after-refurbishment/</t>
  </si>
  <si>
    <t xml:space="preserve">Magic Kingdom – Disney Food Blog – WDW refurbishments (updated Oct 12, 2026)</t>
  </si>
  <si>
    <t xml:space="preserve">https://www.disneyfoodblog.com/refurbishments-and-construction-at-walt-disney-world/</t>
  </si>
  <si>
    <t xml:space="preserve">Magic Kingdom – Inside the Magic – Railroad &amp; Tiana's fall 2026 closures</t>
  </si>
  <si>
    <t xml:space="preserve">https://insidethemagic.net/2026/08/disney-world-confirms-2-refurbishments-that-could-collide-at-magic-kingdom-bwb1/</t>
  </si>
  <si>
    <t xml:space="preserve">Magic Kingdom – Ziggy Knows Disney – refurbishment schedule (Sept 2026)</t>
  </si>
  <si>
    <t xml:space="preserve">https://ziggyknowsdisney.com/disney-world-refurbishments-closures/</t>
  </si>
  <si>
    <t xml:space="preserve">Magic Kingdom – Disney Tourist Blog – Single rider lines guide (Space Mountain test)</t>
  </si>
  <si>
    <t xml:space="preserve">https://www.disneytouristblog.com/single-rider-lines-disney-world-tips-tricks/</t>
  </si>
  <si>
    <t xml:space="preserve">Magic Kingdom – WDWINFO – Buzz Lightyear's Space Ranger Spin reopens</t>
  </si>
  <si>
    <t xml:space="preserve">https://www.wdwinfo.com/walt-disney-world/magic-kingdom/buzz-lightyears-space-ranger-spin-now-open-at-magic-kingdom/</t>
  </si>
  <si>
    <t xml:space="preserve">Magic Kingdom – BlogMickey – Jingle Cruise 2026 return date</t>
  </si>
  <si>
    <t xml:space="preserve">https://blogmickey.com/2026/10/jingle-cruise-return-date-announced-for-2026-holiday-season/</t>
  </si>
  <si>
    <t xml:space="preserve">Magic Kingdom – DisneyBlog – Jingle Cruise Nov 3 / Dec 1–9 hours glitch</t>
  </si>
  <si>
    <t xml:space="preserve">https://disneyblog.com/news/dfb-reports-november-3-jingle-cruise-return-at-magic-kingdom/</t>
  </si>
  <si>
    <t xml:space="preserve">Magic Kingdom – Disney official – Main Street Vehicles</t>
  </si>
  <si>
    <t xml:space="preserve">https://disneyworld.disney.go.com/attractions/magic-kingdom/main-street-vehicles/</t>
  </si>
  <si>
    <t xml:space="preserve">Magic Kingdom – Magic Guides – closed Disney World rides (Riverboat/Tom Sawyer Island, July 2025)</t>
  </si>
  <si>
    <t xml:space="preserve">https://magicguides.com/what-rides-are-closed-at-disney-world/</t>
  </si>
  <si>
    <t xml:space="preserve">Universal Studios Florida – TouringPlans USF height requirements</t>
  </si>
  <si>
    <t xml:space="preserve">https://touringplans.com/universal-studios-florida/attractions/height-requirements</t>
  </si>
  <si>
    <t xml:space="preserve">Universal Studios Florida – Universal Orlando official Express Pass page (attractions + hotel Express Unlimited)</t>
  </si>
  <si>
    <t xml:space="preserve">https://www.universalorlando.com/web/en/us/tickets-packages/express-passes</t>
  </si>
  <si>
    <t xml:space="preserve">Universal Studios Florida – TouringPlans Universal single rider lines (updated Aug 2026)</t>
  </si>
  <si>
    <t xml:space="preserve">https://c.touringplans.com/universal-orlando/single-rider</t>
  </si>
  <si>
    <t xml:space="preserve">Universal Studios Florida – Orlando Informer single rider lines (Aug 2025)</t>
  </si>
  <si>
    <t xml:space="preserve">https://orlandoinformer.com/universal/single-riders-lines/</t>
  </si>
  <si>
    <t xml:space="preserve">Universal Studios Florida – WDWNT: Fast &amp; Furious Supercharged closing a year early (Jul 2026)</t>
  </si>
  <si>
    <t xml:space="preserve">https://wdwnt.com/2026/07/breaking-fast-furious-supercharged-closing-a-year-earlier-than-announced/</t>
  </si>
  <si>
    <t xml:space="preserve">Universal Studios Florida – Inside Universal: Supercharged closes Aug 17, 2026</t>
  </si>
  <si>
    <t xml:space="preserve">https://www.insideuniversal.net/2026/07/fast-furious-supercharged-to-permanently-close-august-17-2026-at-universal-studios-florida/</t>
  </si>
  <si>
    <t xml:space="preserve">Universal Studios Florida – Attractions Magazine: Rip Ride Rockit closing Aug 2025</t>
  </si>
  <si>
    <t xml:space="preserve">https://attractionsmagazine.com/hollywood-rip-ride-rockit-roller-coaster-closing</t>
  </si>
  <si>
    <t xml:space="preserve">Universal Studios Florida – Attractions Magazine: Hollywood Drift coaster for USF 2027</t>
  </si>
  <si>
    <t xml:space="preserve">https://attractionsmagazine.com/fast-furious-hollywood-drift-roller-coaster-universal-studios-florida-2027/</t>
  </si>
  <si>
    <t xml:space="preserve">Universal Studios Florida – MickeyVisit: Universal Orlando refurb calendar incl. Hogwarts Express Nov 4, 2026</t>
  </si>
  <si>
    <t xml:space="preserve">https://mickeyvisit.com/universal-orlando-ride-closure-october-5-2026/</t>
  </si>
  <si>
    <t xml:space="preserve">Universal Studios Florida – Inside the Magic: Universal closures Oct 2026</t>
  </si>
  <si>
    <t xml:space="preserve">https://insidethemagic.net/2026/10/universal-confirms-3-attractions-and-entire-theme-park-will-close-in-october-ab1/</t>
  </si>
  <si>
    <t xml:space="preserve">Universal Studios Florida – Orlando Weekly: Universal temporary closures 2026 (Jan 2026)</t>
  </si>
  <si>
    <t xml:space="preserve">https://www.orlandoweekly.com/arts/here-are-all-the-universal-attractions-temporarily-closing-in-2026/</t>
  </si>
  <si>
    <t xml:space="preserve">Universal Studios Florida – Inside the Magic: Simpsons ride/land closure reports (Jul 2026)</t>
  </si>
  <si>
    <t xml:space="preserve">https://insidethemagic.net/2026/07/universal-moves-to-permanently-shut-down-simpsons-ride-and-land-bwb1/</t>
  </si>
  <si>
    <t xml:space="preserve">Universal Studios Florida – Orlando Informer: DreamWorks Land guide</t>
  </si>
  <si>
    <t xml:space="preserve">https://orlandoinformer.com/universal/dreamworks-land/</t>
  </si>
  <si>
    <t xml:space="preserve">Islands of Adventure – Universal Orlando – Universal Express participating rides (official)</t>
  </si>
  <si>
    <t xml:space="preserve">https://www.universalorlando.com/web/en/us/tickets-packages/express-passes/index.html</t>
  </si>
  <si>
    <t xml:space="preserve">Islands of Adventure – Universal Orlando – Jurassic Park River Adventure page (reopens Dec 17, 2026)</t>
  </si>
  <si>
    <t xml:space="preserve">https://www.universalorlando.com/web/en/us/things-to-do/rides-attractions/jurassic-park-river-adventure</t>
  </si>
  <si>
    <t xml:space="preserve">Islands of Adventure – Universal Orlando – Doctor Doom's Fearfall (52")</t>
  </si>
  <si>
    <t xml:space="preserve">https://www.universalorlando.com/web/en/us/things-to-do/rides-attractions/doctor-dooms-fearfall</t>
  </si>
  <si>
    <t xml:space="preserve">Islands of Adventure – Universal Orlando – Pteranodon Flyers (36–56" rules)</t>
  </si>
  <si>
    <t xml:space="preserve">https://www.universalorlando.com/web/en/us/things-to-do/rides-attractions/pteranodon-flyers</t>
  </si>
  <si>
    <t xml:space="preserve">Islands of Adventure – Universal Orlando – Skull Island: Reign of Kong (36", advisory)</t>
  </si>
  <si>
    <t xml:space="preserve">https://www.universalorlando.com/web/en/us/things-to-do/rides-attractions/skull-island-reign-of-kong</t>
  </si>
  <si>
    <t xml:space="preserve">Islands of Adventure – TouringPlans – IOA attraction list, heights and closures</t>
  </si>
  <si>
    <t xml:space="preserve">https://touringplans.com/islands-of-adventure/attractions</t>
  </si>
  <si>
    <t xml:space="preserve">Islands of Adventure – TouringPlans – Forbidden Journey closures (Feb 8–19, 2027)</t>
  </si>
  <si>
    <t xml:space="preserve">https://c.touringplans.com/islands-of-adventure/attractions/harry-potter-and-the-forbidden-journey/closures</t>
  </si>
  <si>
    <t xml:space="preserve">Islands of Adventure – TouringPlans – Hogwarts Express closures</t>
  </si>
  <si>
    <t xml:space="preserve">https://c.touringplans.com/islands-of-adventure/attractions/hogwarts-express-hogsmeade-station/closures</t>
  </si>
  <si>
    <t xml:space="preserve">Islands of Adventure – TouringPlans – Ripsaw Falls closures</t>
  </si>
  <si>
    <t xml:space="preserve">https://c.touringplans.com/islands-of-adventure/attractions/dudley-dorights-ripsaw-falls/closures</t>
  </si>
  <si>
    <t xml:space="preserve">Islands of Adventure – TouringPlans blog – Hagrid's drops Express July 1, 2026</t>
  </si>
  <si>
    <t xml:space="preserve">https://touringplans.com/blog/hagrids-magical-creature-motorbike-adventure-to-drop-express/</t>
  </si>
  <si>
    <t xml:space="preserve">Islands of Adventure – Disney Food Blog – Hagrid's Express change (May 27, 2026)</t>
  </si>
  <si>
    <t xml:space="preserve">https://www.disneyfoodblog.com/2026/05/27/one-of-universal-orlandos-most-popular-rides-is-changing/</t>
  </si>
  <si>
    <t xml:space="preserve">Islands of Adventure – Disney Fanatic – JPRA reopening moved to Dec 17 (Oct 11, 2026)</t>
  </si>
  <si>
    <t xml:space="preserve">https://www.disneyfanatic.com/?p=332287</t>
  </si>
  <si>
    <t xml:space="preserve">Islands of Adventure – Inside the Magic – 7 Universal closures (Sep 29, 2026)</t>
  </si>
  <si>
    <t xml:space="preserve">https://insidethemagic.net/?p=848813</t>
  </si>
  <si>
    <t xml:space="preserve">Islands of Adventure – Inside the Magic – Bilge-Rat Barges Jan 2027 refurb (Sep 2, 2026)</t>
  </si>
  <si>
    <t xml:space="preserve">https://insidethemagic.net/?p=844743</t>
  </si>
  <si>
    <t xml:space="preserve">Islands of Adventure – Laughing Place – IOA height requirements</t>
  </si>
  <si>
    <t xml:space="preserve">https://laughingplace.com/w/?p=1930910</t>
  </si>
  <si>
    <t xml:space="preserve">Islands of Adventure – WDWInfo – Hollywood Forbidden Journey no longer 3D</t>
  </si>
  <si>
    <t xml:space="preserve">https://www.wdwinfo.com/news-stories/forbidden-journey-at-universal-studios-hollywood-no-longer-3d/</t>
  </si>
  <si>
    <t xml:space="preserve">Islands of Adventure – Wandering in Disney – Attraction Rankings category (no IOA post)</t>
  </si>
  <si>
    <t xml:space="preserve">https://wanderingindisney.com/category/attraction-rankings/</t>
  </si>
  <si>
    <t xml:space="preserve">Islands of Adventure – Wandering in Disney – Top 20 WDW &amp; Universal Orlando Rides (Jan 15, 2026)</t>
  </si>
  <si>
    <t xml:space="preserve">https://wanderingindisney.com/2026/01/15/top-20-walt-disney-world-universal-orlando-rides/</t>
  </si>
  <si>
    <t xml:space="preserve">SeaWorld Orlando – SeaWorld Orlando official ride index (heights, statuses)</t>
  </si>
  <si>
    <t xml:space="preserve">https://seaworld.com/orlando/rides/</t>
  </si>
  <si>
    <t xml:space="preserve">SeaWorld Orlando – SeaWorld Orlando Quick Queue products &amp; included rides</t>
  </si>
  <si>
    <t xml:space="preserve">https://seaworld.com/orlando/upgrades/rides-and-shows</t>
  </si>
  <si>
    <t xml:space="preserve">SeaWorld Orlando – Expedition Odyssey: Fire &amp; Ice official page</t>
  </si>
  <si>
    <t xml:space="preserve">https://seaworld.com/orlando/rides/expedition-odyssey-fire-ice</t>
  </si>
  <si>
    <t xml:space="preserve">SeaWorld Orlando – Expedition Odyssey: Fire &amp; Ice opening-date press release (May 2026)</t>
  </si>
  <si>
    <t xml:space="preserve">https://seaworld.com/orlando/-/media/commercial/seaworld-orlando/files/pdfs/press-releases/swo20260521pr-expedition-odyssey-fire--ice-date-announcement-final.pdf</t>
  </si>
  <si>
    <t xml:space="preserve">SeaWorld Orlando – SEAQuest official page (Coming Soon)</t>
  </si>
  <si>
    <t xml:space="preserve">https://seaworld.com/orlando/rides/sea-quest</t>
  </si>
  <si>
    <t xml:space="preserve">SeaWorld Orlando – Screamscape SeaWorld Florida updates (SEAQuest 'next year', 9/10/2026)</t>
  </si>
  <si>
    <t xml:space="preserve">https://screamscape.com/html/seaworld_florida.htm</t>
  </si>
  <si>
    <t xml:space="preserve">SeaWorld Orlando – Attractions Magazine: SEAQuest no date as of Aug 2026</t>
  </si>
  <si>
    <t xml:space="preserve">https://attractionsmagazine.com/seaquest-seaworld-orlando-suspended-dark-ride-new-2026/</t>
  </si>
  <si>
    <t xml:space="preserve">SeaWorld Orlando – ThrillZing SeaWorld Orlando height guide (Sept 23, 2026)</t>
  </si>
  <si>
    <t xml:space="preserve">https://thrillzing.com/theme-parks/seaworld-orlando-height-requirements/</t>
  </si>
  <si>
    <t xml:space="preserve">SeaWorld Orlando – Official Sesame Street Land ride pages (Elmo's, Cookie Drop, Abby's, Slimey's, Carousel, Grover)</t>
  </si>
  <si>
    <t xml:space="preserve">https://seaworld.com/orlando/sesame-street/attractions/elmos-choo-choo-train</t>
  </si>
  <si>
    <t xml:space="preserve">SeaWorld Orlando – Tripster: Elmo's Choo Choo Train height discrepancy (Oct 2026)</t>
  </si>
  <si>
    <t xml:space="preserve">https://www.tripster.com/travelguide/elmos-choo-choo-train-seaworld-orlando/</t>
  </si>
  <si>
    <t xml:space="preserve">SeaWorld Orlando – Sky Tower official page</t>
  </si>
  <si>
    <t xml:space="preserve">https://seaworld.com/orlando/rides/sky-tower</t>
  </si>
  <si>
    <t xml:space="preserve">SeaWorld Orlando – Flamingo Paddle Boats official page</t>
  </si>
  <si>
    <t xml:space="preserve">https://seaworld.com/orlando/rides/paddle-boats</t>
  </si>
  <si>
    <t xml:space="preserve">SeaWorld Orlando – Wikipedia: SeaWorld Orlando (layout, removed rides)</t>
  </si>
  <si>
    <t xml:space="preserve">https://en.wikipedia.org/wiki/SeaWorld_Orlando</t>
  </si>
  <si>
    <t xml:space="preserve">SeaWorld Orlando – SeaWorld San Diego rides (CA comparison)</t>
  </si>
  <si>
    <t xml:space="preserve">https://seaworld.com/san-diego/rides/</t>
  </si>
  <si>
    <t xml:space="preserve">SeaWorld Orlando – Sesame Place San Diego rides (CA comparison)</t>
  </si>
  <si>
    <t xml:space="preserve">https://sesameplace.com/san-diego/rides/</t>
  </si>
  <si>
    <t xml:space="preserve">SeaWorld Orlando – Theme Park Insider: SeaWorld San Diego Bay of Play becomes Rescue Jr</t>
  </si>
  <si>
    <t xml:space="preserve">https://www.themeparkinsider.com/flume/202305/9547</t>
  </si>
  <si>
    <t xml:space="preserve">SeaWorld Orlando – Theme Park Insider: SWSD Journey to Atlantis reopens Aug 2025</t>
  </si>
  <si>
    <t xml:space="preserve">https://www.themeparkinsider.com/flume/202508/11042/</t>
  </si>
  <si>
    <t xml:space="preserve">SeaWorld Orlando – Wandering in Disney search (no SeaWorld rankings)</t>
  </si>
  <si>
    <t xml:space="preserve">https://wanderingindisney.com/?s=seaworld</t>
  </si>
</sst>
</file>

<file path=xl/styles.xml><?xml version="1.0" encoding="utf-8"?>
<styleSheet xmlns="http://schemas.openxmlformats.org/spreadsheetml/2006/main">
  <numFmts count="1">
    <numFmt numFmtId="164" formatCode="General"/>
  </numFmts>
  <fonts count="13">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1"/>
      <name val="Arial"/>
      <family val="0"/>
      <charset val="1"/>
    </font>
    <font>
      <b val="true"/>
      <sz val="11"/>
      <color rgb="FF0000FF"/>
      <name val="Arial"/>
      <family val="0"/>
      <charset val="1"/>
    </font>
    <font>
      <i val="true"/>
      <sz val="11"/>
      <color rgb="FF595959"/>
      <name val="Arial"/>
      <family val="0"/>
      <charset val="1"/>
    </font>
    <font>
      <b val="true"/>
      <sz val="11"/>
      <color rgb="FFFFFFFF"/>
      <name val="Arial"/>
      <family val="0"/>
      <charset val="1"/>
    </font>
    <font>
      <sz val="11"/>
      <name val="Arial"/>
      <family val="0"/>
      <charset val="1"/>
    </font>
    <font>
      <sz val="10"/>
      <name val="Arial"/>
      <family val="2"/>
    </font>
    <font>
      <b val="true"/>
      <sz val="12"/>
      <name val="Arial"/>
      <family val="0"/>
      <charset val="1"/>
    </font>
    <font>
      <b val="true"/>
      <sz val="10"/>
      <name val="Arial"/>
      <family val="0"/>
      <charset val="1"/>
    </font>
  </fonts>
  <fills count="11">
    <fill>
      <patternFill patternType="none"/>
    </fill>
    <fill>
      <patternFill patternType="gray125"/>
    </fill>
    <fill>
      <patternFill patternType="solid">
        <fgColor rgb="FFFFFF00"/>
        <bgColor rgb="FFFFCC00"/>
      </patternFill>
    </fill>
    <fill>
      <patternFill patternType="solid">
        <fgColor rgb="FF1F3864"/>
        <bgColor rgb="FF333333"/>
      </patternFill>
    </fill>
    <fill>
      <patternFill patternType="solid">
        <fgColor rgb="FFFDEDEC"/>
        <bgColor rgb="FFF3ECFA"/>
      </patternFill>
    </fill>
    <fill>
      <patternFill patternType="solid">
        <fgColor rgb="FFE8F1FB"/>
        <bgColor rgb="FFE3F4F4"/>
      </patternFill>
    </fill>
    <fill>
      <patternFill patternType="solid">
        <fgColor rgb="FFEAF5E6"/>
        <bgColor rgb="FFE3F4F4"/>
      </patternFill>
    </fill>
    <fill>
      <patternFill patternType="solid">
        <fgColor rgb="FFFFF6D9"/>
        <bgColor rgb="FFFDEDEC"/>
      </patternFill>
    </fill>
    <fill>
      <patternFill patternType="solid">
        <fgColor rgb="FFE3F4F4"/>
        <bgColor rgb="FFE8F1FB"/>
      </patternFill>
    </fill>
    <fill>
      <patternFill patternType="solid">
        <fgColor rgb="FFF3ECFA"/>
        <bgColor rgb="FFEDEDED"/>
      </patternFill>
    </fill>
    <fill>
      <patternFill patternType="solid">
        <fgColor rgb="FFEDEDED"/>
        <bgColor rgb="FFF3ECF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right"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9" fillId="4" borderId="1" xfId="0" applyFont="true" applyBorder="true" applyAlignment="true" applyProtection="false">
      <alignment horizontal="left" vertical="top" textRotation="0" wrapText="true" indent="0" shrinkToFit="false"/>
      <protection locked="true" hidden="false"/>
    </xf>
    <xf numFmtId="164" fontId="5" fillId="4" borderId="1" xfId="0" applyFont="true" applyBorder="true" applyAlignment="true" applyProtection="false">
      <alignment horizontal="left" vertical="top" textRotation="0" wrapText="true" indent="0" shrinkToFit="false"/>
      <protection locked="true" hidden="false"/>
    </xf>
    <xf numFmtId="164" fontId="9" fillId="4" borderId="1" xfId="0" applyFont="true" applyBorder="true" applyAlignment="true" applyProtection="false">
      <alignment horizontal="center" vertical="top" textRotation="0" wrapText="tru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5" fillId="5" borderId="1" xfId="0" applyFont="true" applyBorder="true" applyAlignment="true" applyProtection="false">
      <alignment horizontal="left" vertical="top" textRotation="0" wrapText="true" indent="0" shrinkToFit="false"/>
      <protection locked="true" hidden="false"/>
    </xf>
    <xf numFmtId="164" fontId="9" fillId="5" borderId="1" xfId="0" applyFont="true" applyBorder="true" applyAlignment="true" applyProtection="false">
      <alignment horizontal="center" vertical="top" textRotation="0" wrapText="true" indent="0" shrinkToFit="false"/>
      <protection locked="true" hidden="false"/>
    </xf>
    <xf numFmtId="164" fontId="9" fillId="6" borderId="1" xfId="0" applyFont="true" applyBorder="true" applyAlignment="true" applyProtection="false">
      <alignment horizontal="left" vertical="top" textRotation="0" wrapText="true" indent="0" shrinkToFit="false"/>
      <protection locked="true" hidden="false"/>
    </xf>
    <xf numFmtId="164" fontId="5" fillId="6" borderId="1" xfId="0" applyFont="true" applyBorder="true" applyAlignment="true" applyProtection="false">
      <alignment horizontal="left" vertical="top" textRotation="0" wrapText="true" indent="0" shrinkToFit="false"/>
      <protection locked="true" hidden="false"/>
    </xf>
    <xf numFmtId="164" fontId="9" fillId="6" borderId="1" xfId="0" applyFont="true" applyBorder="true" applyAlignment="true" applyProtection="false">
      <alignment horizontal="center" vertical="top" textRotation="0" wrapText="true" indent="0" shrinkToFit="false"/>
      <protection locked="true" hidden="false"/>
    </xf>
    <xf numFmtId="164" fontId="9" fillId="7" borderId="1" xfId="0" applyFont="true" applyBorder="true" applyAlignment="true" applyProtection="false">
      <alignment horizontal="left" vertical="top" textRotation="0" wrapText="true" indent="0" shrinkToFit="false"/>
      <protection locked="true" hidden="false"/>
    </xf>
    <xf numFmtId="164" fontId="5" fillId="7" borderId="1" xfId="0" applyFont="true" applyBorder="true" applyAlignment="true" applyProtection="false">
      <alignment horizontal="left" vertical="top" textRotation="0" wrapText="true" indent="0" shrinkToFit="false"/>
      <protection locked="true" hidden="false"/>
    </xf>
    <xf numFmtId="164" fontId="9" fillId="7" borderId="1" xfId="0" applyFont="true" applyBorder="true" applyAlignment="true" applyProtection="false">
      <alignment horizontal="center" vertical="top" textRotation="0" wrapText="true" indent="0" shrinkToFit="false"/>
      <protection locked="true" hidden="false"/>
    </xf>
    <xf numFmtId="164" fontId="9" fillId="8" borderId="1" xfId="0" applyFont="true" applyBorder="true" applyAlignment="true" applyProtection="false">
      <alignment horizontal="left" vertical="top" textRotation="0" wrapText="true" indent="0" shrinkToFit="false"/>
      <protection locked="true" hidden="false"/>
    </xf>
    <xf numFmtId="164" fontId="5" fillId="8" borderId="1" xfId="0" applyFont="true" applyBorder="true" applyAlignment="true" applyProtection="false">
      <alignment horizontal="left" vertical="top" textRotation="0" wrapText="true" indent="0" shrinkToFit="false"/>
      <protection locked="true" hidden="false"/>
    </xf>
    <xf numFmtId="164" fontId="9" fillId="8" borderId="1" xfId="0" applyFont="true" applyBorder="true" applyAlignment="true" applyProtection="false">
      <alignment horizontal="center" vertical="top" textRotation="0" wrapText="true" indent="0" shrinkToFit="false"/>
      <protection locked="true" hidden="false"/>
    </xf>
    <xf numFmtId="164" fontId="9" fillId="9" borderId="1" xfId="0" applyFont="true" applyBorder="true" applyAlignment="true" applyProtection="false">
      <alignment horizontal="left" vertical="top" textRotation="0" wrapText="true" indent="0" shrinkToFit="false"/>
      <protection locked="true" hidden="false"/>
    </xf>
    <xf numFmtId="164" fontId="5" fillId="9" borderId="1" xfId="0" applyFont="true" applyBorder="true" applyAlignment="true" applyProtection="false">
      <alignment horizontal="left" vertical="top" textRotation="0" wrapText="true" indent="0" shrinkToFit="false"/>
      <protection locked="true" hidden="false"/>
    </xf>
    <xf numFmtId="164" fontId="9" fillId="9" borderId="1" xfId="0" applyFont="true" applyBorder="true" applyAlignment="true" applyProtection="false">
      <alignment horizontal="center" vertical="top" textRotation="0" wrapText="true" indent="0" shrinkToFit="false"/>
      <protection locked="true" hidden="false"/>
    </xf>
    <xf numFmtId="164" fontId="9" fillId="10" borderId="1" xfId="0" applyFont="true" applyBorder="true" applyAlignment="true" applyProtection="false">
      <alignment horizontal="left" vertical="top" textRotation="0" wrapText="true" indent="0" shrinkToFit="false"/>
      <protection locked="true" hidden="false"/>
    </xf>
    <xf numFmtId="164" fontId="5" fillId="10" borderId="1" xfId="0" applyFont="true" applyBorder="true" applyAlignment="true" applyProtection="false">
      <alignment horizontal="left" vertical="top" textRotation="0" wrapText="true" indent="0" shrinkToFit="false"/>
      <protection locked="true" hidden="false"/>
    </xf>
    <xf numFmtId="164" fontId="9" fillId="10" borderId="1" xfId="0" applyFont="true" applyBorder="true" applyAlignment="true" applyProtection="false">
      <alignment horizontal="center"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general" vertical="center"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5" fillId="6" borderId="0" xfId="0" applyFont="true" applyBorder="false" applyAlignment="true" applyProtection="false">
      <alignment horizontal="general" vertical="top" textRotation="0" wrapText="false" indent="0" shrinkToFit="false"/>
      <protection locked="true" hidden="false"/>
    </xf>
    <xf numFmtId="164" fontId="5" fillId="7" borderId="0" xfId="0" applyFont="true" applyBorder="false" applyAlignment="true" applyProtection="false">
      <alignment horizontal="general" vertical="top" textRotation="0" wrapText="false" indent="0" shrinkToFit="false"/>
      <protection locked="true" hidden="false"/>
    </xf>
    <xf numFmtId="164" fontId="5" fillId="8" borderId="0" xfId="0" applyFont="true" applyBorder="false" applyAlignment="true" applyProtection="false">
      <alignment horizontal="general" vertical="top" textRotation="0" wrapText="false" indent="0" shrinkToFit="false"/>
      <protection locked="true" hidden="false"/>
    </xf>
    <xf numFmtId="164" fontId="5" fillId="10" borderId="0" xfId="0" applyFont="true" applyBorder="false" applyAlignment="true" applyProtection="false">
      <alignment horizontal="general" vertical="top"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0">
    <dxf>
      <fill>
        <patternFill patternType="solid">
          <fgColor rgb="FF1F3864"/>
          <bgColor rgb="FF000000"/>
        </patternFill>
      </fill>
    </dxf>
    <dxf>
      <fill>
        <patternFill patternType="solid">
          <fgColor rgb="FFE3F4F4"/>
          <bgColor rgb="FF000000"/>
        </patternFill>
      </fill>
    </dxf>
    <dxf>
      <fill>
        <patternFill patternType="solid">
          <fgColor rgb="FFE8F1FB"/>
          <bgColor rgb="FF000000"/>
        </patternFill>
      </fill>
    </dxf>
    <dxf>
      <fill>
        <patternFill patternType="solid">
          <fgColor rgb="FFEAF5E6"/>
          <bgColor rgb="FF000000"/>
        </patternFill>
      </fill>
    </dxf>
    <dxf>
      <fill>
        <patternFill patternType="solid">
          <fgColor rgb="FFEDEDED"/>
          <bgColor rgb="FF000000"/>
        </patternFill>
      </fill>
    </dxf>
    <dxf>
      <fill>
        <patternFill patternType="solid">
          <fgColor rgb="FFF3ECFA"/>
          <bgColor rgb="FF000000"/>
        </patternFill>
      </fill>
    </dxf>
    <dxf>
      <fill>
        <patternFill patternType="solid">
          <fgColor rgb="FFFDEDEC"/>
          <bgColor rgb="FF000000"/>
        </patternFill>
      </fill>
    </dxf>
    <dxf>
      <fill>
        <patternFill patternType="solid">
          <fgColor rgb="FFFFF6D9"/>
          <bgColor rgb="FF000000"/>
        </patternFill>
      </fill>
    </dxf>
    <dxf>
      <fill>
        <patternFill patternType="solid">
          <fgColor rgb="FFFFFFFF"/>
          <bgColor rgb="FF000000"/>
        </patternFill>
      </fill>
    </dxf>
    <dxf>
      <fill>
        <patternFill patternType="solid">
          <bgColor rgb="FF000000"/>
        </patternFill>
      </fill>
    </dxf>
    <dxf>
      <fill>
        <patternFill patternType="solid">
          <fgColor rgb="FFF4B183"/>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006100"/>
          <bgColor rgb="FF000000"/>
        </patternFill>
      </fill>
    </dxf>
    <dxf>
      <fill>
        <patternFill patternType="solid">
          <fgColor rgb="FF9C0006"/>
          <bgColor rgb="FF000000"/>
        </patternFill>
      </fill>
    </dxf>
    <dxf>
      <fill>
        <patternFill patternType="solid">
          <fgColor rgb="FFFFEB9C"/>
          <bgColor rgb="FF000000"/>
        </patternFill>
      </fill>
    </dxf>
    <dxf>
      <font>
        <name val="Arial"/>
        <charset val="1"/>
        <family val="0"/>
        <b val="1"/>
        <color rgb="FF006100"/>
      </font>
      <fill>
        <patternFill>
          <bgColor rgb="FFC6EFCE"/>
        </patternFill>
      </fill>
    </dxf>
    <dxf>
      <font>
        <name val="Arial"/>
        <charset val="1"/>
        <family val="0"/>
        <color rgb="FF9C0006"/>
      </font>
      <fill>
        <patternFill>
          <bgColor rgb="FFFFC7CE"/>
        </patternFill>
      </fill>
    </dxf>
    <dxf>
      <font>
        <name val="Arial"/>
        <charset val="1"/>
        <family val="0"/>
        <b val="1"/>
      </font>
      <fill>
        <patternFill>
          <bgColor rgb="FFFFEB9C"/>
        </patternFill>
      </fill>
    </dxf>
    <dxf>
      <font>
        <name val="Arial"/>
        <charset val="1"/>
        <family val="0"/>
        <b val="1"/>
        <strike val="1"/>
      </font>
      <fill>
        <patternFill>
          <bgColor rgb="FFF4B183"/>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FBFBF"/>
      <rgbColor rgb="FF808080"/>
      <rgbColor rgb="FF9999FF"/>
      <rgbColor rgb="FF993366"/>
      <rgbColor rgb="FFFFF6D9"/>
      <rgbColor rgb="FFE3F4F4"/>
      <rgbColor rgb="FF660066"/>
      <rgbColor rgb="FFFF8080"/>
      <rgbColor rgb="FF0066CC"/>
      <rgbColor rgb="FFEDEDED"/>
      <rgbColor rgb="FF000080"/>
      <rgbColor rgb="FFFF00FF"/>
      <rgbColor rgb="FFFDEDEC"/>
      <rgbColor rgb="FF00FFFF"/>
      <rgbColor rgb="FF800080"/>
      <rgbColor rgb="FF800000"/>
      <rgbColor rgb="FF008080"/>
      <rgbColor rgb="FF0000FF"/>
      <rgbColor rgb="FF00CCFF"/>
      <rgbColor rgb="FFE8F1FB"/>
      <rgbColor rgb="FFC6EFCE"/>
      <rgbColor rgb="FFFFEB9C"/>
      <rgbColor rgb="FFEAF5E6"/>
      <rgbColor rgb="FFF4B183"/>
      <rgbColor rgb="FFF3ECFA"/>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4" min="3" style="0" width="30"/>
    <col collapsed="false" customWidth="true" hidden="false" outlineLevel="0" max="5" min="5" style="0" width="10"/>
    <col collapsed="false" customWidth="true" hidden="false" outlineLevel="0" max="6" min="6" style="0" width="26"/>
    <col collapsed="false" customWidth="true" hidden="false" outlineLevel="0" max="7" min="7" style="0" width="11"/>
    <col collapsed="false" customWidth="true" hidden="false" outlineLevel="0" max="8" min="8" style="0" width="26"/>
    <col collapsed="false" customWidth="true" hidden="false" outlineLevel="0" max="9" min="9" style="0" width="44"/>
    <col collapsed="false" customWidth="true" hidden="false" outlineLevel="0" max="10" min="10" style="0" width="30"/>
    <col collapsed="false" customWidth="true" hidden="false" outlineLevel="0" max="11" min="11" style="0" width="13"/>
    <col collapsed="false" customWidth="true" hidden="false" outlineLevel="0" max="12" min="12" style="0" width="14"/>
    <col collapsed="false" customWidth="true" hidden="false" outlineLevel="0" max="13" min="13" style="0" width="34"/>
    <col collapsed="false" customWidth="true" hidden="false" outlineLevel="0" max="14" min="14" style="0" width="13"/>
    <col collapsed="false" customWidth="true" hidden="false" outlineLevel="0" max="15" min="15" style="0" width="15"/>
    <col collapsed="false" customWidth="true" hidden="false" outlineLevel="0" max="16" min="16" style="0" width="46"/>
  </cols>
  <sheetData>
    <row r="1" customFormat="false" ht="17.35" hidden="false" customHeight="false" outlineLevel="0" collapsed="false">
      <c r="A1" s="1" t="s">
        <v>0</v>
      </c>
    </row>
    <row r="2" customFormat="false" ht="15" hidden="false" customHeight="false" outlineLevel="0" collapsed="false">
      <c r="A2" s="2" t="s">
        <v>1</v>
      </c>
      <c r="B2" s="2"/>
      <c r="C2" s="3" t="n">
        <v>35.5</v>
      </c>
      <c r="D2" s="4" t="s">
        <v>2</v>
      </c>
    </row>
    <row r="4" customFormat="false" ht="48" hidden="false" customHeight="true" outlineLevel="0" collapsed="false">
      <c r="A4" s="5" t="s">
        <v>3</v>
      </c>
      <c r="B4" s="5" t="s">
        <v>4</v>
      </c>
      <c r="C4" s="5" t="s">
        <v>5</v>
      </c>
      <c r="D4" s="5" t="s">
        <v>6</v>
      </c>
      <c r="E4" s="5" t="s">
        <v>7</v>
      </c>
      <c r="F4" s="5" t="s">
        <v>8</v>
      </c>
      <c r="G4" s="5" t="s">
        <v>9</v>
      </c>
      <c r="H4" s="5" t="s">
        <v>10</v>
      </c>
      <c r="I4" s="5" t="s">
        <v>11</v>
      </c>
      <c r="J4" s="5" t="s">
        <v>12</v>
      </c>
      <c r="K4" s="5" t="s">
        <v>13</v>
      </c>
      <c r="L4" s="5" t="s">
        <v>14</v>
      </c>
      <c r="M4" s="5" t="s">
        <v>15</v>
      </c>
      <c r="N4" s="5" t="s">
        <v>16</v>
      </c>
      <c r="O4" s="5" t="s">
        <v>17</v>
      </c>
      <c r="P4" s="5" t="s">
        <v>18</v>
      </c>
    </row>
    <row r="5" customFormat="false" ht="102.95" hidden="false" customHeight="false" outlineLevel="0" collapsed="false">
      <c r="A5" s="6" t="s">
        <v>19</v>
      </c>
      <c r="B5" s="6" t="s">
        <v>20</v>
      </c>
      <c r="C5" s="7" t="s">
        <v>21</v>
      </c>
      <c r="D5" s="6" t="s">
        <v>22</v>
      </c>
      <c r="E5" s="8"/>
      <c r="F5" s="6" t="s">
        <v>23</v>
      </c>
      <c r="G5" s="8" t="str">
        <f aca="false">IF(E5="","Yes",IF($C$2&gt;=E5,"Yes","Not yet"))</f>
        <v>Yes</v>
      </c>
      <c r="H5" s="6" t="s">
        <v>24</v>
      </c>
      <c r="I5" s="6" t="s">
        <v>25</v>
      </c>
      <c r="J5" s="6" t="s">
        <v>26</v>
      </c>
      <c r="K5" s="8" t="s">
        <v>27</v>
      </c>
      <c r="L5" s="8" t="s">
        <v>28</v>
      </c>
      <c r="M5" s="6" t="s">
        <v>29</v>
      </c>
      <c r="N5" s="8" t="n">
        <v>1</v>
      </c>
      <c r="O5" s="8" t="s">
        <v>30</v>
      </c>
      <c r="P5" s="6" t="s">
        <v>31</v>
      </c>
    </row>
    <row r="6" customFormat="false" ht="64.9" hidden="false" customHeight="false" outlineLevel="0" collapsed="false">
      <c r="A6" s="6" t="s">
        <v>19</v>
      </c>
      <c r="B6" s="6" t="s">
        <v>32</v>
      </c>
      <c r="C6" s="7" t="s">
        <v>33</v>
      </c>
      <c r="D6" s="6" t="s">
        <v>34</v>
      </c>
      <c r="E6" s="8" t="n">
        <v>38</v>
      </c>
      <c r="F6" s="6" t="s">
        <v>35</v>
      </c>
      <c r="G6" s="8" t="str">
        <f aca="false">IF(E6="","Yes",IF($C$2&gt;=E6,"Yes","Not yet"))</f>
        <v>Not yet</v>
      </c>
      <c r="H6" s="6" t="s">
        <v>36</v>
      </c>
      <c r="I6" s="6" t="s">
        <v>37</v>
      </c>
      <c r="J6" s="6" t="s">
        <v>38</v>
      </c>
      <c r="K6" s="8" t="s">
        <v>27</v>
      </c>
      <c r="L6" s="8" t="s">
        <v>28</v>
      </c>
      <c r="M6" s="6" t="s">
        <v>39</v>
      </c>
      <c r="N6" s="8" t="n">
        <v>2</v>
      </c>
      <c r="O6" s="8" t="s">
        <v>40</v>
      </c>
      <c r="P6" s="6" t="s">
        <v>41</v>
      </c>
    </row>
    <row r="7" customFormat="false" ht="64.9" hidden="false" customHeight="false" outlineLevel="0" collapsed="false">
      <c r="A7" s="6" t="s">
        <v>19</v>
      </c>
      <c r="B7" s="6" t="s">
        <v>42</v>
      </c>
      <c r="C7" s="7" t="s">
        <v>43</v>
      </c>
      <c r="D7" s="6" t="s">
        <v>44</v>
      </c>
      <c r="E7" s="8"/>
      <c r="F7" s="6" t="s">
        <v>23</v>
      </c>
      <c r="G7" s="8" t="str">
        <f aca="false">IF(E7="","Yes",IF($C$2&gt;=E7,"Yes","Not yet"))</f>
        <v>Yes</v>
      </c>
      <c r="H7" s="6" t="s">
        <v>45</v>
      </c>
      <c r="I7" s="6" t="s">
        <v>46</v>
      </c>
      <c r="J7" s="6" t="s">
        <v>38</v>
      </c>
      <c r="K7" s="8" t="s">
        <v>27</v>
      </c>
      <c r="L7" s="8" t="s">
        <v>28</v>
      </c>
      <c r="M7" s="6" t="s">
        <v>47</v>
      </c>
      <c r="N7" s="8" t="n">
        <v>3</v>
      </c>
      <c r="O7" s="8" t="s">
        <v>48</v>
      </c>
      <c r="P7" s="6" t="s">
        <v>49</v>
      </c>
    </row>
    <row r="8" customFormat="false" ht="52.2" hidden="false" customHeight="false" outlineLevel="0" collapsed="false">
      <c r="A8" s="6" t="s">
        <v>19</v>
      </c>
      <c r="B8" s="6" t="s">
        <v>50</v>
      </c>
      <c r="C8" s="7" t="s">
        <v>51</v>
      </c>
      <c r="D8" s="6" t="s">
        <v>52</v>
      </c>
      <c r="E8" s="8"/>
      <c r="F8" s="6" t="s">
        <v>23</v>
      </c>
      <c r="G8" s="8" t="str">
        <f aca="false">IF(E8="","Yes",IF($C$2&gt;=E8,"Yes","Not yet"))</f>
        <v>Yes</v>
      </c>
      <c r="H8" s="6" t="s">
        <v>53</v>
      </c>
      <c r="I8" s="6" t="s">
        <v>54</v>
      </c>
      <c r="J8" s="6" t="s">
        <v>38</v>
      </c>
      <c r="K8" s="8" t="s">
        <v>27</v>
      </c>
      <c r="L8" s="8" t="s">
        <v>28</v>
      </c>
      <c r="M8" s="6" t="s">
        <v>55</v>
      </c>
      <c r="N8" s="8" t="n">
        <v>4</v>
      </c>
      <c r="O8" s="8" t="s">
        <v>56</v>
      </c>
      <c r="P8" s="6" t="s">
        <v>57</v>
      </c>
    </row>
    <row r="9" customFormat="false" ht="39.55" hidden="false" customHeight="false" outlineLevel="0" collapsed="false">
      <c r="A9" s="6" t="s">
        <v>19</v>
      </c>
      <c r="B9" s="6" t="s">
        <v>58</v>
      </c>
      <c r="C9" s="7" t="s">
        <v>59</v>
      </c>
      <c r="D9" s="6" t="s">
        <v>60</v>
      </c>
      <c r="E9" s="8" t="n">
        <v>48</v>
      </c>
      <c r="F9" s="6" t="s">
        <v>61</v>
      </c>
      <c r="G9" s="8" t="str">
        <f aca="false">IF(E9="","Yes",IF($C$2&gt;=E9,"Yes","Not yet"))</f>
        <v>Not yet</v>
      </c>
      <c r="H9" s="6" t="s">
        <v>62</v>
      </c>
      <c r="I9" s="6" t="s">
        <v>63</v>
      </c>
      <c r="J9" s="6" t="s">
        <v>64</v>
      </c>
      <c r="K9" s="8" t="s">
        <v>27</v>
      </c>
      <c r="L9" s="8" t="s">
        <v>27</v>
      </c>
      <c r="M9" s="6"/>
      <c r="N9" s="8" t="n">
        <v>5</v>
      </c>
      <c r="O9" s="8" t="s">
        <v>65</v>
      </c>
      <c r="P9" s="6" t="s">
        <v>66</v>
      </c>
    </row>
    <row r="10" customFormat="false" ht="90.25" hidden="false" customHeight="false" outlineLevel="0" collapsed="false">
      <c r="A10" s="6" t="s">
        <v>19</v>
      </c>
      <c r="B10" s="6" t="s">
        <v>58</v>
      </c>
      <c r="C10" s="7" t="s">
        <v>67</v>
      </c>
      <c r="D10" s="6" t="s">
        <v>68</v>
      </c>
      <c r="E10" s="8" t="n">
        <v>44</v>
      </c>
      <c r="F10" s="6" t="s">
        <v>69</v>
      </c>
      <c r="G10" s="8" t="str">
        <f aca="false">IF(E10="","Yes",IF($C$2&gt;=E10,"Yes","Not yet"))</f>
        <v>Not yet</v>
      </c>
      <c r="H10" s="6" t="s">
        <v>70</v>
      </c>
      <c r="I10" s="6" t="s">
        <v>37</v>
      </c>
      <c r="J10" s="6" t="s">
        <v>38</v>
      </c>
      <c r="K10" s="8" t="s">
        <v>71</v>
      </c>
      <c r="L10" s="8" t="s">
        <v>72</v>
      </c>
      <c r="M10" s="6" t="s">
        <v>73</v>
      </c>
      <c r="N10" s="8" t="n">
        <v>6</v>
      </c>
      <c r="O10" s="8" t="s">
        <v>74</v>
      </c>
      <c r="P10" s="6"/>
    </row>
    <row r="11" customFormat="false" ht="77.6" hidden="false" customHeight="false" outlineLevel="0" collapsed="false">
      <c r="A11" s="6" t="s">
        <v>19</v>
      </c>
      <c r="B11" s="6" t="s">
        <v>42</v>
      </c>
      <c r="C11" s="7" t="s">
        <v>75</v>
      </c>
      <c r="D11" s="6" t="s">
        <v>76</v>
      </c>
      <c r="E11" s="8"/>
      <c r="F11" s="6" t="s">
        <v>23</v>
      </c>
      <c r="G11" s="8" t="str">
        <f aca="false">IF(E11="","Yes",IF($C$2&gt;=E11,"Yes","Not yet"))</f>
        <v>Yes</v>
      </c>
      <c r="H11" s="6" t="s">
        <v>77</v>
      </c>
      <c r="I11" s="6" t="s">
        <v>78</v>
      </c>
      <c r="J11" s="6" t="s">
        <v>26</v>
      </c>
      <c r="K11" s="8" t="s">
        <v>27</v>
      </c>
      <c r="L11" s="8" t="s">
        <v>28</v>
      </c>
      <c r="M11" s="6" t="s">
        <v>79</v>
      </c>
      <c r="N11" s="8" t="n">
        <v>7</v>
      </c>
      <c r="O11" s="8" t="s">
        <v>80</v>
      </c>
      <c r="P11" s="6"/>
    </row>
    <row r="12" customFormat="false" ht="90.25" hidden="false" customHeight="false" outlineLevel="0" collapsed="false">
      <c r="A12" s="6" t="s">
        <v>19</v>
      </c>
      <c r="B12" s="6" t="s">
        <v>58</v>
      </c>
      <c r="C12" s="7" t="s">
        <v>81</v>
      </c>
      <c r="D12" s="6" t="s">
        <v>82</v>
      </c>
      <c r="E12" s="8"/>
      <c r="F12" s="6" t="s">
        <v>83</v>
      </c>
      <c r="G12" s="8" t="str">
        <f aca="false">IF(E12="","Yes",IF($C$2&gt;=E12,"Yes","Not yet"))</f>
        <v>Yes</v>
      </c>
      <c r="H12" s="6" t="s">
        <v>84</v>
      </c>
      <c r="I12" s="6" t="s">
        <v>85</v>
      </c>
      <c r="J12" s="6" t="s">
        <v>26</v>
      </c>
      <c r="K12" s="8" t="s">
        <v>27</v>
      </c>
      <c r="L12" s="8" t="s">
        <v>72</v>
      </c>
      <c r="M12" s="6" t="s">
        <v>86</v>
      </c>
      <c r="N12" s="8" t="n">
        <v>8</v>
      </c>
      <c r="O12" s="8" t="s">
        <v>87</v>
      </c>
      <c r="P12" s="6" t="s">
        <v>88</v>
      </c>
    </row>
    <row r="13" customFormat="false" ht="26.85" hidden="false" customHeight="false" outlineLevel="0" collapsed="false">
      <c r="A13" s="6" t="s">
        <v>19</v>
      </c>
      <c r="B13" s="6" t="s">
        <v>58</v>
      </c>
      <c r="C13" s="7" t="s">
        <v>89</v>
      </c>
      <c r="D13" s="6" t="s">
        <v>90</v>
      </c>
      <c r="E13" s="8"/>
      <c r="F13" s="6" t="s">
        <v>23</v>
      </c>
      <c r="G13" s="8" t="str">
        <f aca="false">IF(E13="","Yes",IF($C$2&gt;=E13,"Yes","Not yet"))</f>
        <v>Yes</v>
      </c>
      <c r="H13" s="6" t="s">
        <v>70</v>
      </c>
      <c r="I13" s="6" t="s">
        <v>37</v>
      </c>
      <c r="J13" s="6" t="s">
        <v>91</v>
      </c>
      <c r="K13" s="8" t="s">
        <v>27</v>
      </c>
      <c r="L13" s="8" t="s">
        <v>27</v>
      </c>
      <c r="M13" s="6"/>
      <c r="N13" s="8" t="n">
        <v>9</v>
      </c>
      <c r="O13" s="8" t="s">
        <v>92</v>
      </c>
      <c r="P13" s="6" t="s">
        <v>93</v>
      </c>
    </row>
    <row r="14" customFormat="false" ht="52.2" hidden="false" customHeight="false" outlineLevel="0" collapsed="false">
      <c r="A14" s="6" t="s">
        <v>19</v>
      </c>
      <c r="B14" s="6" t="s">
        <v>50</v>
      </c>
      <c r="C14" s="7" t="s">
        <v>94</v>
      </c>
      <c r="D14" s="6" t="s">
        <v>95</v>
      </c>
      <c r="E14" s="8" t="n">
        <v>38</v>
      </c>
      <c r="F14" s="6" t="s">
        <v>96</v>
      </c>
      <c r="G14" s="8" t="str">
        <f aca="false">IF(E14="","Yes",IF($C$2&gt;=E14,"Yes","Not yet"))</f>
        <v>Not yet</v>
      </c>
      <c r="H14" s="6" t="s">
        <v>97</v>
      </c>
      <c r="I14" s="6" t="s">
        <v>98</v>
      </c>
      <c r="J14" s="6" t="s">
        <v>64</v>
      </c>
      <c r="K14" s="8" t="s">
        <v>27</v>
      </c>
      <c r="L14" s="8" t="s">
        <v>99</v>
      </c>
      <c r="M14" s="6" t="s">
        <v>100</v>
      </c>
      <c r="N14" s="8" t="n">
        <v>10</v>
      </c>
      <c r="O14" s="8" t="s">
        <v>101</v>
      </c>
      <c r="P14" s="6"/>
    </row>
    <row r="15" customFormat="false" ht="64.9" hidden="false" customHeight="false" outlineLevel="0" collapsed="false">
      <c r="A15" s="6" t="s">
        <v>19</v>
      </c>
      <c r="B15" s="6" t="s">
        <v>50</v>
      </c>
      <c r="C15" s="7" t="s">
        <v>102</v>
      </c>
      <c r="D15" s="6" t="s">
        <v>103</v>
      </c>
      <c r="E15" s="8"/>
      <c r="F15" s="6" t="s">
        <v>23</v>
      </c>
      <c r="G15" s="8" t="str">
        <f aca="false">IF(E15="","Yes",IF($C$2&gt;=E15,"Yes","Not yet"))</f>
        <v>Yes</v>
      </c>
      <c r="H15" s="6" t="s">
        <v>104</v>
      </c>
      <c r="I15" s="6" t="s">
        <v>37</v>
      </c>
      <c r="J15" s="6" t="s">
        <v>26</v>
      </c>
      <c r="K15" s="8" t="s">
        <v>27</v>
      </c>
      <c r="L15" s="8" t="s">
        <v>28</v>
      </c>
      <c r="M15" s="6" t="s">
        <v>105</v>
      </c>
      <c r="N15" s="8" t="n">
        <v>11</v>
      </c>
      <c r="O15" s="8" t="s">
        <v>106</v>
      </c>
      <c r="P15" s="6"/>
    </row>
    <row r="16" customFormat="false" ht="64.9" hidden="false" customHeight="false" outlineLevel="0" collapsed="false">
      <c r="A16" s="6" t="s">
        <v>19</v>
      </c>
      <c r="B16" s="6" t="s">
        <v>32</v>
      </c>
      <c r="C16" s="7" t="s">
        <v>107</v>
      </c>
      <c r="D16" s="6" t="s">
        <v>108</v>
      </c>
      <c r="E16" s="8" t="n">
        <v>40</v>
      </c>
      <c r="F16" s="6" t="s">
        <v>109</v>
      </c>
      <c r="G16" s="8" t="str">
        <f aca="false">IF(E16="","Yes",IF($C$2&gt;=E16,"Yes","Not yet"))</f>
        <v>Not yet</v>
      </c>
      <c r="H16" s="6" t="s">
        <v>110</v>
      </c>
      <c r="I16" s="6" t="s">
        <v>111</v>
      </c>
      <c r="J16" s="6" t="s">
        <v>38</v>
      </c>
      <c r="K16" s="8" t="s">
        <v>27</v>
      </c>
      <c r="L16" s="8" t="s">
        <v>28</v>
      </c>
      <c r="M16" s="6" t="s">
        <v>112</v>
      </c>
      <c r="N16" s="8" t="n">
        <v>12</v>
      </c>
      <c r="O16" s="8" t="s">
        <v>113</v>
      </c>
      <c r="P16" s="6" t="s">
        <v>114</v>
      </c>
    </row>
    <row r="17" customFormat="false" ht="102.95" hidden="false" customHeight="false" outlineLevel="0" collapsed="false">
      <c r="A17" s="6" t="s">
        <v>19</v>
      </c>
      <c r="B17" s="6" t="s">
        <v>115</v>
      </c>
      <c r="C17" s="7" t="s">
        <v>116</v>
      </c>
      <c r="D17" s="6" t="s">
        <v>117</v>
      </c>
      <c r="E17" s="8"/>
      <c r="F17" s="6" t="s">
        <v>83</v>
      </c>
      <c r="G17" s="8" t="str">
        <f aca="false">IF(E17="","Yes",IF($C$2&gt;=E17,"Yes","Not yet"))</f>
        <v>Yes</v>
      </c>
      <c r="H17" s="6" t="s">
        <v>70</v>
      </c>
      <c r="I17" s="6" t="s">
        <v>37</v>
      </c>
      <c r="J17" s="6" t="s">
        <v>91</v>
      </c>
      <c r="K17" s="8" t="s">
        <v>27</v>
      </c>
      <c r="L17" s="8" t="s">
        <v>72</v>
      </c>
      <c r="M17" s="6" t="s">
        <v>118</v>
      </c>
      <c r="N17" s="8" t="n">
        <v>13</v>
      </c>
      <c r="O17" s="8" t="s">
        <v>119</v>
      </c>
      <c r="P17" s="6" t="s">
        <v>120</v>
      </c>
    </row>
    <row r="18" customFormat="false" ht="52.2" hidden="false" customHeight="false" outlineLevel="0" collapsed="false">
      <c r="A18" s="6" t="s">
        <v>19</v>
      </c>
      <c r="B18" s="6" t="s">
        <v>121</v>
      </c>
      <c r="C18" s="7" t="s">
        <v>122</v>
      </c>
      <c r="D18" s="6" t="s">
        <v>123</v>
      </c>
      <c r="E18" s="8"/>
      <c r="F18" s="6" t="s">
        <v>83</v>
      </c>
      <c r="G18" s="8" t="str">
        <f aca="false">IF(E18="","Yes",IF($C$2&gt;=E18,"Yes","Not yet"))</f>
        <v>Yes</v>
      </c>
      <c r="H18" s="6" t="s">
        <v>124</v>
      </c>
      <c r="I18" s="6" t="s">
        <v>125</v>
      </c>
      <c r="J18" s="6" t="s">
        <v>26</v>
      </c>
      <c r="K18" s="8" t="s">
        <v>27</v>
      </c>
      <c r="L18" s="8" t="s">
        <v>28</v>
      </c>
      <c r="M18" s="6" t="s">
        <v>126</v>
      </c>
      <c r="N18" s="8" t="n">
        <v>14</v>
      </c>
      <c r="O18" s="8" t="s">
        <v>127</v>
      </c>
      <c r="P18" s="6"/>
    </row>
    <row r="19" customFormat="false" ht="52.2" hidden="false" customHeight="false" outlineLevel="0" collapsed="false">
      <c r="A19" s="6" t="s">
        <v>19</v>
      </c>
      <c r="B19" s="6" t="s">
        <v>58</v>
      </c>
      <c r="C19" s="7" t="s">
        <v>128</v>
      </c>
      <c r="D19" s="6" t="s">
        <v>129</v>
      </c>
      <c r="E19" s="8"/>
      <c r="F19" s="6" t="s">
        <v>83</v>
      </c>
      <c r="G19" s="8" t="str">
        <f aca="false">IF(E19="","Yes",IF($C$2&gt;=E19,"Yes","Not yet"))</f>
        <v>Yes</v>
      </c>
      <c r="H19" s="6" t="s">
        <v>70</v>
      </c>
      <c r="I19" s="6" t="s">
        <v>37</v>
      </c>
      <c r="J19" s="6" t="s">
        <v>91</v>
      </c>
      <c r="K19" s="8" t="s">
        <v>27</v>
      </c>
      <c r="L19" s="8" t="s">
        <v>72</v>
      </c>
      <c r="M19" s="6" t="s">
        <v>130</v>
      </c>
      <c r="N19" s="8" t="n">
        <v>15</v>
      </c>
      <c r="O19" s="8" t="s">
        <v>131</v>
      </c>
      <c r="P19" s="6" t="s">
        <v>132</v>
      </c>
    </row>
    <row r="20" customFormat="false" ht="39.55" hidden="false" customHeight="false" outlineLevel="0" collapsed="false">
      <c r="A20" s="6" t="s">
        <v>19</v>
      </c>
      <c r="B20" s="6" t="s">
        <v>50</v>
      </c>
      <c r="C20" s="7" t="s">
        <v>133</v>
      </c>
      <c r="D20" s="6" t="s">
        <v>134</v>
      </c>
      <c r="E20" s="8"/>
      <c r="F20" s="6" t="s">
        <v>83</v>
      </c>
      <c r="G20" s="8" t="str">
        <f aca="false">IF(E20="","Yes",IF($C$2&gt;=E20,"Yes","Not yet"))</f>
        <v>Yes</v>
      </c>
      <c r="H20" s="6" t="s">
        <v>135</v>
      </c>
      <c r="I20" s="6" t="s">
        <v>136</v>
      </c>
      <c r="J20" s="6" t="s">
        <v>26</v>
      </c>
      <c r="K20" s="8" t="s">
        <v>27</v>
      </c>
      <c r="L20" s="8" t="s">
        <v>28</v>
      </c>
      <c r="M20" s="6" t="s">
        <v>137</v>
      </c>
      <c r="N20" s="8" t="n">
        <v>16</v>
      </c>
      <c r="O20" s="8" t="s">
        <v>138</v>
      </c>
      <c r="P20" s="6"/>
    </row>
    <row r="21" customFormat="false" ht="77.6" hidden="false" customHeight="false" outlineLevel="0" collapsed="false">
      <c r="A21" s="6" t="s">
        <v>19</v>
      </c>
      <c r="B21" s="6" t="s">
        <v>50</v>
      </c>
      <c r="C21" s="7" t="s">
        <v>139</v>
      </c>
      <c r="D21" s="6" t="s">
        <v>140</v>
      </c>
      <c r="E21" s="8"/>
      <c r="F21" s="6" t="s">
        <v>23</v>
      </c>
      <c r="G21" s="8" t="str">
        <f aca="false">IF(E21="","Yes",IF($C$2&gt;=E21,"Yes","Not yet"))</f>
        <v>Yes</v>
      </c>
      <c r="H21" s="6" t="s">
        <v>141</v>
      </c>
      <c r="I21" s="6" t="s">
        <v>142</v>
      </c>
      <c r="J21" s="6" t="s">
        <v>26</v>
      </c>
      <c r="K21" s="8" t="s">
        <v>27</v>
      </c>
      <c r="L21" s="8" t="s">
        <v>28</v>
      </c>
      <c r="M21" s="6" t="s">
        <v>143</v>
      </c>
      <c r="N21" s="8" t="n">
        <v>17</v>
      </c>
      <c r="O21" s="8" t="s">
        <v>144</v>
      </c>
      <c r="P21" s="6"/>
    </row>
    <row r="22" customFormat="false" ht="90.25" hidden="false" customHeight="false" outlineLevel="0" collapsed="false">
      <c r="A22" s="6" t="s">
        <v>19</v>
      </c>
      <c r="B22" s="6" t="s">
        <v>121</v>
      </c>
      <c r="C22" s="7" t="s">
        <v>145</v>
      </c>
      <c r="D22" s="6" t="s">
        <v>146</v>
      </c>
      <c r="E22" s="8" t="n">
        <v>35</v>
      </c>
      <c r="F22" s="6" t="s">
        <v>147</v>
      </c>
      <c r="G22" s="8" t="str">
        <f aca="false">IF(E22="","Yes",IF($C$2&gt;=E22,"Yes","Not yet"))</f>
        <v>Yes</v>
      </c>
      <c r="H22" s="6" t="s">
        <v>148</v>
      </c>
      <c r="I22" s="6" t="s">
        <v>149</v>
      </c>
      <c r="J22" s="6" t="s">
        <v>26</v>
      </c>
      <c r="K22" s="8" t="s">
        <v>27</v>
      </c>
      <c r="L22" s="8" t="s">
        <v>72</v>
      </c>
      <c r="M22" s="6" t="s">
        <v>150</v>
      </c>
      <c r="N22" s="8" t="n">
        <v>18</v>
      </c>
      <c r="O22" s="8" t="s">
        <v>151</v>
      </c>
      <c r="P22" s="6" t="s">
        <v>152</v>
      </c>
    </row>
    <row r="23" customFormat="false" ht="64.9" hidden="false" customHeight="false" outlineLevel="0" collapsed="false">
      <c r="A23" s="6" t="s">
        <v>19</v>
      </c>
      <c r="B23" s="6" t="s">
        <v>50</v>
      </c>
      <c r="C23" s="7" t="s">
        <v>153</v>
      </c>
      <c r="D23" s="6" t="s">
        <v>154</v>
      </c>
      <c r="E23" s="8"/>
      <c r="F23" s="6" t="s">
        <v>23</v>
      </c>
      <c r="G23" s="8" t="str">
        <f aca="false">IF(E23="","Yes",IF($C$2&gt;=E23,"Yes","Not yet"))</f>
        <v>Yes</v>
      </c>
      <c r="H23" s="6" t="s">
        <v>155</v>
      </c>
      <c r="I23" s="6" t="s">
        <v>156</v>
      </c>
      <c r="J23" s="6" t="s">
        <v>26</v>
      </c>
      <c r="K23" s="8" t="s">
        <v>27</v>
      </c>
      <c r="L23" s="8" t="s">
        <v>28</v>
      </c>
      <c r="M23" s="6" t="s">
        <v>157</v>
      </c>
      <c r="N23" s="8" t="n">
        <v>19</v>
      </c>
      <c r="O23" s="8" t="s">
        <v>158</v>
      </c>
      <c r="P23" s="6"/>
    </row>
    <row r="24" customFormat="false" ht="26.85" hidden="false" customHeight="false" outlineLevel="0" collapsed="false">
      <c r="A24" s="6" t="s">
        <v>19</v>
      </c>
      <c r="B24" s="6" t="s">
        <v>50</v>
      </c>
      <c r="C24" s="7" t="s">
        <v>159</v>
      </c>
      <c r="D24" s="6" t="s">
        <v>160</v>
      </c>
      <c r="E24" s="8"/>
      <c r="F24" s="6" t="s">
        <v>23</v>
      </c>
      <c r="G24" s="8" t="str">
        <f aca="false">IF(E24="","Yes",IF($C$2&gt;=E24,"Yes","Not yet"))</f>
        <v>Yes</v>
      </c>
      <c r="H24" s="6" t="s">
        <v>161</v>
      </c>
      <c r="I24" s="6" t="s">
        <v>162</v>
      </c>
      <c r="J24" s="6" t="s">
        <v>91</v>
      </c>
      <c r="K24" s="8" t="s">
        <v>27</v>
      </c>
      <c r="L24" s="8" t="s">
        <v>72</v>
      </c>
      <c r="M24" s="6" t="s">
        <v>163</v>
      </c>
      <c r="N24" s="8" t="n">
        <v>20</v>
      </c>
      <c r="O24" s="8" t="s">
        <v>164</v>
      </c>
      <c r="P24" s="6"/>
    </row>
    <row r="25" customFormat="false" ht="52.2" hidden="false" customHeight="false" outlineLevel="0" collapsed="false">
      <c r="A25" s="6" t="s">
        <v>19</v>
      </c>
      <c r="B25" s="6" t="s">
        <v>42</v>
      </c>
      <c r="C25" s="7" t="s">
        <v>165</v>
      </c>
      <c r="D25" s="6" t="s">
        <v>166</v>
      </c>
      <c r="E25" s="8"/>
      <c r="F25" s="6" t="s">
        <v>83</v>
      </c>
      <c r="G25" s="8" t="str">
        <f aca="false">IF(E25="","Yes",IF($C$2&gt;=E25,"Yes","Not yet"))</f>
        <v>Yes</v>
      </c>
      <c r="H25" s="6" t="s">
        <v>167</v>
      </c>
      <c r="I25" s="6" t="s">
        <v>168</v>
      </c>
      <c r="J25" s="6" t="s">
        <v>26</v>
      </c>
      <c r="K25" s="8" t="s">
        <v>27</v>
      </c>
      <c r="L25" s="8" t="s">
        <v>27</v>
      </c>
      <c r="M25" s="6" t="s">
        <v>169</v>
      </c>
      <c r="N25" s="8" t="n">
        <v>21</v>
      </c>
      <c r="O25" s="8" t="s">
        <v>170</v>
      </c>
      <c r="P25" s="6" t="s">
        <v>171</v>
      </c>
    </row>
    <row r="26" customFormat="false" ht="77.6" hidden="false" customHeight="false" outlineLevel="0" collapsed="false">
      <c r="A26" s="6" t="s">
        <v>19</v>
      </c>
      <c r="B26" s="6" t="s">
        <v>58</v>
      </c>
      <c r="C26" s="7" t="s">
        <v>172</v>
      </c>
      <c r="D26" s="6" t="s">
        <v>173</v>
      </c>
      <c r="E26" s="8" t="n">
        <v>32</v>
      </c>
      <c r="F26" s="6" t="s">
        <v>174</v>
      </c>
      <c r="G26" s="8" t="str">
        <f aca="false">IF(E26="","Yes",IF($C$2&gt;=E26,"Yes","Not yet"))</f>
        <v>Yes</v>
      </c>
      <c r="H26" s="6" t="s">
        <v>70</v>
      </c>
      <c r="I26" s="6" t="s">
        <v>37</v>
      </c>
      <c r="J26" s="6" t="s">
        <v>26</v>
      </c>
      <c r="K26" s="8" t="s">
        <v>27</v>
      </c>
      <c r="L26" s="8" t="s">
        <v>28</v>
      </c>
      <c r="M26" s="6" t="s">
        <v>175</v>
      </c>
      <c r="N26" s="8" t="n">
        <v>22</v>
      </c>
      <c r="O26" s="8" t="s">
        <v>176</v>
      </c>
      <c r="P26" s="6" t="s">
        <v>177</v>
      </c>
    </row>
    <row r="27" customFormat="false" ht="52.2" hidden="false" customHeight="false" outlineLevel="0" collapsed="false">
      <c r="A27" s="6" t="s">
        <v>19</v>
      </c>
      <c r="B27" s="6" t="s">
        <v>115</v>
      </c>
      <c r="C27" s="7" t="s">
        <v>178</v>
      </c>
      <c r="D27" s="6" t="s">
        <v>179</v>
      </c>
      <c r="E27" s="8"/>
      <c r="F27" s="6" t="s">
        <v>23</v>
      </c>
      <c r="G27" s="8" t="str">
        <f aca="false">IF(E27="","Yes",IF($C$2&gt;=E27,"Yes","Not yet"))</f>
        <v>Yes</v>
      </c>
      <c r="H27" s="6" t="s">
        <v>70</v>
      </c>
      <c r="I27" s="6" t="s">
        <v>37</v>
      </c>
      <c r="J27" s="6" t="s">
        <v>91</v>
      </c>
      <c r="K27" s="8" t="s">
        <v>27</v>
      </c>
      <c r="L27" s="8" t="s">
        <v>28</v>
      </c>
      <c r="M27" s="6" t="s">
        <v>180</v>
      </c>
      <c r="N27" s="8"/>
      <c r="O27" s="8" t="s">
        <v>181</v>
      </c>
      <c r="P27" s="6" t="s">
        <v>182</v>
      </c>
    </row>
    <row r="28" customFormat="false" ht="39.55" hidden="false" customHeight="false" outlineLevel="0" collapsed="false">
      <c r="A28" s="9" t="s">
        <v>183</v>
      </c>
      <c r="B28" s="9" t="s">
        <v>184</v>
      </c>
      <c r="C28" s="10" t="s">
        <v>185</v>
      </c>
      <c r="D28" s="9" t="s">
        <v>186</v>
      </c>
      <c r="E28" s="11" t="n">
        <v>42</v>
      </c>
      <c r="F28" s="9"/>
      <c r="G28" s="11" t="str">
        <f aca="false">IF(E28="","Yes",IF($C$2&gt;=E28,"Yes","Not yet"))</f>
        <v>Not yet</v>
      </c>
      <c r="H28" s="9" t="s">
        <v>187</v>
      </c>
      <c r="I28" s="9" t="s">
        <v>188</v>
      </c>
      <c r="J28" s="9" t="s">
        <v>64</v>
      </c>
      <c r="K28" s="11" t="s">
        <v>27</v>
      </c>
      <c r="L28" s="11" t="s">
        <v>99</v>
      </c>
      <c r="M28" s="9" t="s">
        <v>189</v>
      </c>
      <c r="N28" s="11" t="n">
        <v>1</v>
      </c>
      <c r="O28" s="11" t="s">
        <v>190</v>
      </c>
      <c r="P28" s="9" t="s">
        <v>191</v>
      </c>
    </row>
    <row r="29" customFormat="false" ht="39.55" hidden="false" customHeight="false" outlineLevel="0" collapsed="false">
      <c r="A29" s="9" t="s">
        <v>183</v>
      </c>
      <c r="B29" s="9" t="s">
        <v>184</v>
      </c>
      <c r="C29" s="10" t="s">
        <v>192</v>
      </c>
      <c r="D29" s="9" t="s">
        <v>193</v>
      </c>
      <c r="E29" s="11" t="n">
        <v>40</v>
      </c>
      <c r="F29" s="9"/>
      <c r="G29" s="11" t="str">
        <f aca="false">IF(E29="","Yes",IF($C$2&gt;=E29,"Yes","Not yet"))</f>
        <v>Not yet</v>
      </c>
      <c r="H29" s="9" t="s">
        <v>194</v>
      </c>
      <c r="I29" s="9" t="s">
        <v>37</v>
      </c>
      <c r="J29" s="9" t="s">
        <v>38</v>
      </c>
      <c r="K29" s="11" t="s">
        <v>28</v>
      </c>
      <c r="L29" s="11" t="s">
        <v>72</v>
      </c>
      <c r="M29" s="9" t="s">
        <v>195</v>
      </c>
      <c r="N29" s="11" t="n">
        <v>2</v>
      </c>
      <c r="O29" s="11" t="s">
        <v>196</v>
      </c>
      <c r="P29" s="9" t="s">
        <v>197</v>
      </c>
    </row>
    <row r="30" customFormat="false" ht="39.55" hidden="false" customHeight="false" outlineLevel="0" collapsed="false">
      <c r="A30" s="9" t="s">
        <v>183</v>
      </c>
      <c r="B30" s="9" t="s">
        <v>198</v>
      </c>
      <c r="C30" s="10" t="s">
        <v>199</v>
      </c>
      <c r="D30" s="9" t="s">
        <v>200</v>
      </c>
      <c r="E30" s="11" t="n">
        <v>40</v>
      </c>
      <c r="F30" s="9"/>
      <c r="G30" s="11" t="str">
        <f aca="false">IF(E30="","Yes",IF($C$2&gt;=E30,"Yes","Not yet"))</f>
        <v>Not yet</v>
      </c>
      <c r="H30" s="9" t="s">
        <v>201</v>
      </c>
      <c r="I30" s="9" t="s">
        <v>37</v>
      </c>
      <c r="J30" s="9" t="s">
        <v>26</v>
      </c>
      <c r="K30" s="11" t="s">
        <v>27</v>
      </c>
      <c r="L30" s="11" t="s">
        <v>28</v>
      </c>
      <c r="M30" s="9" t="s">
        <v>202</v>
      </c>
      <c r="N30" s="11" t="n">
        <v>3</v>
      </c>
      <c r="O30" s="11" t="s">
        <v>203</v>
      </c>
      <c r="P30" s="9" t="s">
        <v>204</v>
      </c>
    </row>
    <row r="31" customFormat="false" ht="39.55" hidden="false" customHeight="false" outlineLevel="0" collapsed="false">
      <c r="A31" s="9" t="s">
        <v>183</v>
      </c>
      <c r="B31" s="9" t="s">
        <v>205</v>
      </c>
      <c r="C31" s="10" t="s">
        <v>206</v>
      </c>
      <c r="D31" s="9" t="s">
        <v>207</v>
      </c>
      <c r="E31" s="11"/>
      <c r="F31" s="9" t="s">
        <v>23</v>
      </c>
      <c r="G31" s="11" t="str">
        <f aca="false">IF(E31="","Yes",IF($C$2&gt;=E31,"Yes","Not yet"))</f>
        <v>Yes</v>
      </c>
      <c r="H31" s="9" t="s">
        <v>208</v>
      </c>
      <c r="I31" s="9" t="s">
        <v>37</v>
      </c>
      <c r="J31" s="9" t="s">
        <v>26</v>
      </c>
      <c r="K31" s="11" t="s">
        <v>27</v>
      </c>
      <c r="L31" s="11" t="s">
        <v>27</v>
      </c>
      <c r="M31" s="9"/>
      <c r="N31" s="11" t="n">
        <v>4</v>
      </c>
      <c r="O31" s="11" t="s">
        <v>209</v>
      </c>
      <c r="P31" s="9" t="s">
        <v>210</v>
      </c>
    </row>
    <row r="32" customFormat="false" ht="26.85" hidden="false" customHeight="false" outlineLevel="0" collapsed="false">
      <c r="A32" s="9" t="s">
        <v>183</v>
      </c>
      <c r="B32" s="9" t="s">
        <v>198</v>
      </c>
      <c r="C32" s="10" t="s">
        <v>211</v>
      </c>
      <c r="D32" s="9" t="s">
        <v>212</v>
      </c>
      <c r="E32" s="11"/>
      <c r="F32" s="9" t="s">
        <v>23</v>
      </c>
      <c r="G32" s="11" t="str">
        <f aca="false">IF(E32="","Yes",IF($C$2&gt;=E32,"Yes","Not yet"))</f>
        <v>Yes</v>
      </c>
      <c r="H32" s="9" t="s">
        <v>213</v>
      </c>
      <c r="I32" s="9" t="s">
        <v>37</v>
      </c>
      <c r="J32" s="9" t="s">
        <v>26</v>
      </c>
      <c r="K32" s="11" t="s">
        <v>27</v>
      </c>
      <c r="L32" s="11" t="s">
        <v>27</v>
      </c>
      <c r="M32" s="9"/>
      <c r="N32" s="11" t="n">
        <v>5</v>
      </c>
      <c r="O32" s="11" t="s">
        <v>214</v>
      </c>
      <c r="P32" s="9"/>
    </row>
    <row r="33" customFormat="false" ht="52.2" hidden="false" customHeight="false" outlineLevel="0" collapsed="false">
      <c r="A33" s="9" t="s">
        <v>183</v>
      </c>
      <c r="B33" s="9" t="s">
        <v>215</v>
      </c>
      <c r="C33" s="10" t="s">
        <v>216</v>
      </c>
      <c r="D33" s="9" t="s">
        <v>217</v>
      </c>
      <c r="E33" s="11"/>
      <c r="F33" s="9" t="s">
        <v>23</v>
      </c>
      <c r="G33" s="11" t="str">
        <f aca="false">IF(E33="","Yes",IF($C$2&gt;=E33,"Yes","Not yet"))</f>
        <v>Yes</v>
      </c>
      <c r="H33" s="9" t="s">
        <v>218</v>
      </c>
      <c r="I33" s="9" t="s">
        <v>219</v>
      </c>
      <c r="J33" s="9" t="s">
        <v>38</v>
      </c>
      <c r="K33" s="11" t="s">
        <v>27</v>
      </c>
      <c r="L33" s="11" t="s">
        <v>27</v>
      </c>
      <c r="M33" s="9" t="s">
        <v>220</v>
      </c>
      <c r="N33" s="11" t="n">
        <v>6</v>
      </c>
      <c r="O33" s="11" t="s">
        <v>221</v>
      </c>
      <c r="P33" s="9" t="s">
        <v>222</v>
      </c>
    </row>
    <row r="34" customFormat="false" ht="39.55" hidden="false" customHeight="false" outlineLevel="0" collapsed="false">
      <c r="A34" s="9" t="s">
        <v>183</v>
      </c>
      <c r="B34" s="9" t="s">
        <v>223</v>
      </c>
      <c r="C34" s="10" t="s">
        <v>224</v>
      </c>
      <c r="D34" s="9" t="s">
        <v>225</v>
      </c>
      <c r="E34" s="11"/>
      <c r="F34" s="9" t="s">
        <v>23</v>
      </c>
      <c r="G34" s="11" t="str">
        <f aca="false">IF(E34="","Yes",IF($C$2&gt;=E34,"Yes","Not yet"))</f>
        <v>Yes</v>
      </c>
      <c r="H34" s="9" t="s">
        <v>226</v>
      </c>
      <c r="I34" s="9" t="s">
        <v>227</v>
      </c>
      <c r="J34" s="9" t="s">
        <v>38</v>
      </c>
      <c r="K34" s="11" t="s">
        <v>28</v>
      </c>
      <c r="L34" s="11" t="s">
        <v>27</v>
      </c>
      <c r="M34" s="9" t="s">
        <v>228</v>
      </c>
      <c r="N34" s="11" t="n">
        <v>7</v>
      </c>
      <c r="O34" s="11" t="s">
        <v>229</v>
      </c>
      <c r="P34" s="9" t="s">
        <v>230</v>
      </c>
    </row>
    <row r="35" customFormat="false" ht="52.2" hidden="false" customHeight="false" outlineLevel="0" collapsed="false">
      <c r="A35" s="9" t="s">
        <v>183</v>
      </c>
      <c r="B35" s="9" t="s">
        <v>231</v>
      </c>
      <c r="C35" s="10" t="s">
        <v>232</v>
      </c>
      <c r="D35" s="9" t="s">
        <v>233</v>
      </c>
      <c r="E35" s="11"/>
      <c r="F35" s="9" t="s">
        <v>23</v>
      </c>
      <c r="G35" s="11" t="str">
        <f aca="false">IF(E35="","Yes",IF($C$2&gt;=E35,"Yes","Not yet"))</f>
        <v>Yes</v>
      </c>
      <c r="H35" s="9" t="s">
        <v>234</v>
      </c>
      <c r="I35" s="9" t="s">
        <v>235</v>
      </c>
      <c r="J35" s="9" t="s">
        <v>91</v>
      </c>
      <c r="K35" s="11" t="s">
        <v>27</v>
      </c>
      <c r="L35" s="11" t="s">
        <v>27</v>
      </c>
      <c r="M35" s="9"/>
      <c r="N35" s="11" t="n">
        <v>8</v>
      </c>
      <c r="O35" s="11" t="s">
        <v>236</v>
      </c>
      <c r="P35" s="9"/>
    </row>
    <row r="36" customFormat="false" ht="39.55" hidden="false" customHeight="false" outlineLevel="0" collapsed="false">
      <c r="A36" s="9" t="s">
        <v>183</v>
      </c>
      <c r="B36" s="9" t="s">
        <v>184</v>
      </c>
      <c r="C36" s="10" t="s">
        <v>237</v>
      </c>
      <c r="D36" s="9" t="s">
        <v>238</v>
      </c>
      <c r="E36" s="11" t="n">
        <v>40</v>
      </c>
      <c r="F36" s="9" t="s">
        <v>239</v>
      </c>
      <c r="G36" s="11" t="str">
        <f aca="false">IF(E36="","Yes",IF($C$2&gt;=E36,"Yes","Not yet"))</f>
        <v>Not yet</v>
      </c>
      <c r="H36" s="9" t="s">
        <v>240</v>
      </c>
      <c r="I36" s="9" t="s">
        <v>37</v>
      </c>
      <c r="J36" s="9" t="s">
        <v>26</v>
      </c>
      <c r="K36" s="11" t="s">
        <v>27</v>
      </c>
      <c r="L36" s="11" t="s">
        <v>27</v>
      </c>
      <c r="M36" s="9"/>
      <c r="N36" s="11" t="n">
        <v>9</v>
      </c>
      <c r="O36" s="11" t="s">
        <v>241</v>
      </c>
      <c r="P36" s="9"/>
    </row>
    <row r="37" customFormat="false" ht="26.85" hidden="false" customHeight="false" outlineLevel="0" collapsed="false">
      <c r="A37" s="9" t="s">
        <v>183</v>
      </c>
      <c r="B37" s="9" t="s">
        <v>205</v>
      </c>
      <c r="C37" s="10" t="s">
        <v>242</v>
      </c>
      <c r="D37" s="9" t="s">
        <v>243</v>
      </c>
      <c r="E37" s="11"/>
      <c r="F37" s="9" t="s">
        <v>23</v>
      </c>
      <c r="G37" s="11" t="str">
        <f aca="false">IF(E37="","Yes",IF($C$2&gt;=E37,"Yes","Not yet"))</f>
        <v>Yes</v>
      </c>
      <c r="H37" s="9" t="s">
        <v>244</v>
      </c>
      <c r="I37" s="9" t="s">
        <v>37</v>
      </c>
      <c r="J37" s="9" t="s">
        <v>26</v>
      </c>
      <c r="K37" s="11" t="s">
        <v>27</v>
      </c>
      <c r="L37" s="11" t="s">
        <v>27</v>
      </c>
      <c r="M37" s="9"/>
      <c r="N37" s="11" t="n">
        <v>10</v>
      </c>
      <c r="O37" s="11" t="s">
        <v>245</v>
      </c>
      <c r="P37" s="9"/>
    </row>
    <row r="38" customFormat="false" ht="39.55" hidden="false" customHeight="false" outlineLevel="0" collapsed="false">
      <c r="A38" s="9" t="s">
        <v>183</v>
      </c>
      <c r="B38" s="9" t="s">
        <v>198</v>
      </c>
      <c r="C38" s="10" t="s">
        <v>246</v>
      </c>
      <c r="D38" s="9" t="s">
        <v>247</v>
      </c>
      <c r="E38" s="11"/>
      <c r="F38" s="9" t="s">
        <v>23</v>
      </c>
      <c r="G38" s="11" t="str">
        <f aca="false">IF(E38="","Yes",IF($C$2&gt;=E38,"Yes","Not yet"))</f>
        <v>Yes</v>
      </c>
      <c r="H38" s="9" t="s">
        <v>248</v>
      </c>
      <c r="I38" s="9" t="s">
        <v>249</v>
      </c>
      <c r="J38" s="9" t="s">
        <v>26</v>
      </c>
      <c r="K38" s="11" t="s">
        <v>27</v>
      </c>
      <c r="L38" s="11" t="s">
        <v>99</v>
      </c>
      <c r="M38" s="9" t="s">
        <v>250</v>
      </c>
      <c r="N38" s="11" t="n">
        <v>11</v>
      </c>
      <c r="O38" s="11" t="s">
        <v>251</v>
      </c>
      <c r="P38" s="9"/>
    </row>
    <row r="39" customFormat="false" ht="26.85" hidden="false" customHeight="false" outlineLevel="0" collapsed="false">
      <c r="A39" s="12" t="s">
        <v>252</v>
      </c>
      <c r="B39" s="12" t="s">
        <v>253</v>
      </c>
      <c r="C39" s="13" t="s">
        <v>254</v>
      </c>
      <c r="D39" s="12" t="s">
        <v>255</v>
      </c>
      <c r="E39" s="14"/>
      <c r="F39" s="12" t="s">
        <v>23</v>
      </c>
      <c r="G39" s="14" t="str">
        <f aca="false">IF(E39="","Yes",IF($C$2&gt;=E39,"Yes","Not yet"))</f>
        <v>Yes</v>
      </c>
      <c r="H39" s="12" t="s">
        <v>256</v>
      </c>
      <c r="I39" s="12" t="s">
        <v>257</v>
      </c>
      <c r="J39" s="12" t="s">
        <v>258</v>
      </c>
      <c r="K39" s="14" t="s">
        <v>27</v>
      </c>
      <c r="L39" s="14" t="s">
        <v>27</v>
      </c>
      <c r="M39" s="12"/>
      <c r="N39" s="14" t="n">
        <v>1</v>
      </c>
      <c r="O39" s="14" t="s">
        <v>259</v>
      </c>
      <c r="P39" s="12" t="s">
        <v>191</v>
      </c>
    </row>
    <row r="40" customFormat="false" ht="26.85" hidden="false" customHeight="false" outlineLevel="0" collapsed="false">
      <c r="A40" s="12" t="s">
        <v>252</v>
      </c>
      <c r="B40" s="12" t="s">
        <v>260</v>
      </c>
      <c r="C40" s="13" t="s">
        <v>261</v>
      </c>
      <c r="D40" s="12" t="s">
        <v>262</v>
      </c>
      <c r="E40" s="14" t="n">
        <v>44</v>
      </c>
      <c r="F40" s="12"/>
      <c r="G40" s="14" t="str">
        <f aca="false">IF(E40="","Yes",IF($C$2&gt;=E40,"Yes","Not yet"))</f>
        <v>Not yet</v>
      </c>
      <c r="H40" s="12" t="s">
        <v>263</v>
      </c>
      <c r="I40" s="12" t="s">
        <v>264</v>
      </c>
      <c r="J40" s="12" t="s">
        <v>64</v>
      </c>
      <c r="K40" s="14" t="s">
        <v>27</v>
      </c>
      <c r="L40" s="14" t="s">
        <v>27</v>
      </c>
      <c r="M40" s="12"/>
      <c r="N40" s="14" t="n">
        <v>2</v>
      </c>
      <c r="O40" s="14" t="s">
        <v>265</v>
      </c>
      <c r="P40" s="12"/>
    </row>
    <row r="41" customFormat="false" ht="39.55" hidden="false" customHeight="false" outlineLevel="0" collapsed="false">
      <c r="A41" s="12" t="s">
        <v>252</v>
      </c>
      <c r="B41" s="12" t="s">
        <v>266</v>
      </c>
      <c r="C41" s="13" t="s">
        <v>267</v>
      </c>
      <c r="D41" s="12" t="s">
        <v>268</v>
      </c>
      <c r="E41" s="14" t="n">
        <v>44</v>
      </c>
      <c r="F41" s="12"/>
      <c r="G41" s="14" t="str">
        <f aca="false">IF(E41="","Yes",IF($C$2&gt;=E41,"Yes","Not yet"))</f>
        <v>Not yet</v>
      </c>
      <c r="H41" s="12" t="s">
        <v>269</v>
      </c>
      <c r="I41" s="12" t="s">
        <v>37</v>
      </c>
      <c r="J41" s="12" t="s">
        <v>258</v>
      </c>
      <c r="K41" s="14" t="s">
        <v>270</v>
      </c>
      <c r="L41" s="14" t="s">
        <v>27</v>
      </c>
      <c r="M41" s="12" t="s">
        <v>271</v>
      </c>
      <c r="N41" s="14" t="n">
        <v>3</v>
      </c>
      <c r="O41" s="14" t="s">
        <v>272</v>
      </c>
      <c r="P41" s="12" t="s">
        <v>273</v>
      </c>
    </row>
    <row r="42" customFormat="false" ht="39.55" hidden="false" customHeight="false" outlineLevel="0" collapsed="false">
      <c r="A42" s="12" t="s">
        <v>252</v>
      </c>
      <c r="B42" s="12" t="s">
        <v>260</v>
      </c>
      <c r="C42" s="13" t="s">
        <v>274</v>
      </c>
      <c r="D42" s="12" t="s">
        <v>275</v>
      </c>
      <c r="E42" s="14"/>
      <c r="F42" s="12" t="s">
        <v>23</v>
      </c>
      <c r="G42" s="14" t="str">
        <f aca="false">IF(E42="","Yes",IF($C$2&gt;=E42,"Yes","Not yet"))</f>
        <v>Yes</v>
      </c>
      <c r="H42" s="12" t="s">
        <v>263</v>
      </c>
      <c r="I42" s="12" t="s">
        <v>276</v>
      </c>
      <c r="J42" s="12" t="s">
        <v>258</v>
      </c>
      <c r="K42" s="14" t="s">
        <v>27</v>
      </c>
      <c r="L42" s="14" t="s">
        <v>27</v>
      </c>
      <c r="M42" s="12"/>
      <c r="N42" s="14" t="n">
        <v>4</v>
      </c>
      <c r="O42" s="14" t="s">
        <v>277</v>
      </c>
      <c r="P42" s="12"/>
    </row>
    <row r="43" customFormat="false" ht="26.85" hidden="false" customHeight="false" outlineLevel="0" collapsed="false">
      <c r="A43" s="12" t="s">
        <v>252</v>
      </c>
      <c r="B43" s="12" t="s">
        <v>266</v>
      </c>
      <c r="C43" s="13" t="s">
        <v>278</v>
      </c>
      <c r="D43" s="12" t="s">
        <v>279</v>
      </c>
      <c r="E43" s="14" t="n">
        <v>38</v>
      </c>
      <c r="F43" s="12"/>
      <c r="G43" s="14" t="str">
        <f aca="false">IF(E43="","Yes",IF($C$2&gt;=E43,"Yes","Not yet"))</f>
        <v>Not yet</v>
      </c>
      <c r="H43" s="12" t="s">
        <v>91</v>
      </c>
      <c r="I43" s="12" t="s">
        <v>37</v>
      </c>
      <c r="J43" s="12" t="s">
        <v>258</v>
      </c>
      <c r="K43" s="14" t="s">
        <v>27</v>
      </c>
      <c r="L43" s="14" t="s">
        <v>72</v>
      </c>
      <c r="M43" s="12" t="s">
        <v>280</v>
      </c>
      <c r="N43" s="14" t="n">
        <v>5</v>
      </c>
      <c r="O43" s="14" t="s">
        <v>281</v>
      </c>
      <c r="P43" s="12"/>
    </row>
    <row r="44" customFormat="false" ht="39.55" hidden="false" customHeight="false" outlineLevel="0" collapsed="false">
      <c r="A44" s="12" t="s">
        <v>252</v>
      </c>
      <c r="B44" s="12" t="s">
        <v>282</v>
      </c>
      <c r="C44" s="13" t="s">
        <v>283</v>
      </c>
      <c r="D44" s="12" t="s">
        <v>284</v>
      </c>
      <c r="E44" s="14"/>
      <c r="F44" s="12" t="s">
        <v>23</v>
      </c>
      <c r="G44" s="14" t="str">
        <f aca="false">IF(E44="","Yes",IF($C$2&gt;=E44,"Yes","Not yet"))</f>
        <v>Yes</v>
      </c>
      <c r="H44" s="12" t="s">
        <v>285</v>
      </c>
      <c r="I44" s="12" t="s">
        <v>286</v>
      </c>
      <c r="J44" s="12" t="s">
        <v>287</v>
      </c>
      <c r="K44" s="14" t="s">
        <v>27</v>
      </c>
      <c r="L44" s="14" t="s">
        <v>27</v>
      </c>
      <c r="M44" s="12"/>
      <c r="N44" s="14"/>
      <c r="O44" s="14" t="s">
        <v>181</v>
      </c>
      <c r="P44" s="12" t="s">
        <v>288</v>
      </c>
    </row>
    <row r="45" customFormat="false" ht="64.9" hidden="false" customHeight="false" outlineLevel="0" collapsed="false">
      <c r="A45" s="15" t="s">
        <v>289</v>
      </c>
      <c r="B45" s="15" t="s">
        <v>290</v>
      </c>
      <c r="C45" s="16" t="s">
        <v>291</v>
      </c>
      <c r="D45" s="15" t="s">
        <v>292</v>
      </c>
      <c r="E45" s="17" t="n">
        <v>42</v>
      </c>
      <c r="F45" s="15" t="s">
        <v>293</v>
      </c>
      <c r="G45" s="17" t="str">
        <f aca="false">IF(E45="","Yes",IF($C$2&gt;=E45,"Yes","Not yet"))</f>
        <v>Not yet</v>
      </c>
      <c r="H45" s="15" t="s">
        <v>294</v>
      </c>
      <c r="I45" s="15" t="s">
        <v>295</v>
      </c>
      <c r="J45" s="15" t="s">
        <v>296</v>
      </c>
      <c r="K45" s="17" t="s">
        <v>28</v>
      </c>
      <c r="L45" s="17" t="s">
        <v>99</v>
      </c>
      <c r="M45" s="15" t="s">
        <v>297</v>
      </c>
      <c r="N45" s="17" t="n">
        <v>1</v>
      </c>
      <c r="O45" s="17" t="s">
        <v>298</v>
      </c>
      <c r="P45" s="15" t="s">
        <v>299</v>
      </c>
    </row>
    <row r="46" customFormat="false" ht="64.9" hidden="false" customHeight="false" outlineLevel="0" collapsed="false">
      <c r="A46" s="15" t="s">
        <v>289</v>
      </c>
      <c r="B46" s="15" t="s">
        <v>300</v>
      </c>
      <c r="C46" s="16" t="s">
        <v>301</v>
      </c>
      <c r="D46" s="15" t="s">
        <v>302</v>
      </c>
      <c r="E46" s="17" t="n">
        <v>34</v>
      </c>
      <c r="F46" s="15" t="s">
        <v>303</v>
      </c>
      <c r="G46" s="17" t="str">
        <f aca="false">IF(E46="","Yes",IF($C$2&gt;=E46,"Yes","Not yet"))</f>
        <v>Yes</v>
      </c>
      <c r="H46" s="15" t="s">
        <v>304</v>
      </c>
      <c r="I46" s="15" t="s">
        <v>305</v>
      </c>
      <c r="J46" s="15" t="s">
        <v>296</v>
      </c>
      <c r="K46" s="17" t="s">
        <v>306</v>
      </c>
      <c r="L46" s="17" t="s">
        <v>27</v>
      </c>
      <c r="M46" s="15"/>
      <c r="N46" s="17" t="n">
        <v>2</v>
      </c>
      <c r="O46" s="17" t="s">
        <v>307</v>
      </c>
      <c r="P46" s="15" t="s">
        <v>308</v>
      </c>
    </row>
    <row r="47" customFormat="false" ht="77.6" hidden="false" customHeight="false" outlineLevel="0" collapsed="false">
      <c r="A47" s="15" t="s">
        <v>289</v>
      </c>
      <c r="B47" s="15" t="s">
        <v>309</v>
      </c>
      <c r="C47" s="16" t="s">
        <v>310</v>
      </c>
      <c r="D47" s="15" t="s">
        <v>311</v>
      </c>
      <c r="E47" s="17" t="n">
        <v>48</v>
      </c>
      <c r="F47" s="15" t="s">
        <v>312</v>
      </c>
      <c r="G47" s="17" t="str">
        <f aca="false">IF(E47="","Yes",IF($C$2&gt;=E47,"Yes","Not yet"))</f>
        <v>Not yet</v>
      </c>
      <c r="H47" s="15" t="s">
        <v>313</v>
      </c>
      <c r="I47" s="15" t="s">
        <v>314</v>
      </c>
      <c r="J47" s="15" t="s">
        <v>296</v>
      </c>
      <c r="K47" s="17" t="s">
        <v>28</v>
      </c>
      <c r="L47" s="17" t="s">
        <v>72</v>
      </c>
      <c r="M47" s="15" t="s">
        <v>315</v>
      </c>
      <c r="N47" s="17" t="n">
        <v>3</v>
      </c>
      <c r="O47" s="17" t="s">
        <v>316</v>
      </c>
      <c r="P47" s="15" t="s">
        <v>317</v>
      </c>
    </row>
    <row r="48" customFormat="false" ht="64.9" hidden="false" customHeight="false" outlineLevel="0" collapsed="false">
      <c r="A48" s="15" t="s">
        <v>289</v>
      </c>
      <c r="B48" s="15" t="s">
        <v>318</v>
      </c>
      <c r="C48" s="16" t="s">
        <v>319</v>
      </c>
      <c r="D48" s="15" t="s">
        <v>320</v>
      </c>
      <c r="E48" s="17"/>
      <c r="F48" s="15" t="s">
        <v>321</v>
      </c>
      <c r="G48" s="17" t="str">
        <f aca="false">IF(E48="","Yes",IF($C$2&gt;=E48,"Yes","Not yet"))</f>
        <v>Yes</v>
      </c>
      <c r="H48" s="15" t="s">
        <v>294</v>
      </c>
      <c r="I48" s="15" t="s">
        <v>322</v>
      </c>
      <c r="J48" s="15" t="s">
        <v>323</v>
      </c>
      <c r="K48" s="17" t="s">
        <v>27</v>
      </c>
      <c r="L48" s="17" t="s">
        <v>99</v>
      </c>
      <c r="M48" s="15" t="s">
        <v>324</v>
      </c>
      <c r="N48" s="17" t="n">
        <v>4</v>
      </c>
      <c r="O48" s="17" t="s">
        <v>325</v>
      </c>
      <c r="P48" s="15" t="s">
        <v>326</v>
      </c>
    </row>
    <row r="49" customFormat="false" ht="77.6" hidden="false" customHeight="false" outlineLevel="0" collapsed="false">
      <c r="A49" s="15" t="s">
        <v>289</v>
      </c>
      <c r="B49" s="15" t="s">
        <v>327</v>
      </c>
      <c r="C49" s="16" t="s">
        <v>328</v>
      </c>
      <c r="D49" s="15" t="s">
        <v>329</v>
      </c>
      <c r="E49" s="17" t="n">
        <v>40</v>
      </c>
      <c r="F49" s="15" t="s">
        <v>330</v>
      </c>
      <c r="G49" s="17" t="str">
        <f aca="false">IF(E49="","Yes",IF($C$2&gt;=E49,"Yes","Not yet"))</f>
        <v>Not yet</v>
      </c>
      <c r="H49" s="15" t="s">
        <v>331</v>
      </c>
      <c r="I49" s="15" t="s">
        <v>332</v>
      </c>
      <c r="J49" s="15" t="s">
        <v>296</v>
      </c>
      <c r="K49" s="17" t="s">
        <v>333</v>
      </c>
      <c r="L49" s="17" t="s">
        <v>28</v>
      </c>
      <c r="M49" s="15" t="s">
        <v>334</v>
      </c>
      <c r="N49" s="17" t="n">
        <v>5</v>
      </c>
      <c r="O49" s="17" t="s">
        <v>335</v>
      </c>
      <c r="P49" s="15"/>
    </row>
    <row r="50" customFormat="false" ht="64.9" hidden="false" customHeight="false" outlineLevel="0" collapsed="false">
      <c r="A50" s="15" t="s">
        <v>289</v>
      </c>
      <c r="B50" s="15" t="s">
        <v>336</v>
      </c>
      <c r="C50" s="16" t="s">
        <v>337</v>
      </c>
      <c r="D50" s="15" t="s">
        <v>338</v>
      </c>
      <c r="E50" s="17" t="n">
        <v>42</v>
      </c>
      <c r="F50" s="15" t="s">
        <v>339</v>
      </c>
      <c r="G50" s="17" t="str">
        <f aca="false">IF(E50="","Yes",IF($C$2&gt;=E50,"Yes","Not yet"))</f>
        <v>Not yet</v>
      </c>
      <c r="H50" s="15" t="s">
        <v>340</v>
      </c>
      <c r="I50" s="15" t="s">
        <v>341</v>
      </c>
      <c r="J50" s="15" t="s">
        <v>296</v>
      </c>
      <c r="K50" s="17" t="s">
        <v>28</v>
      </c>
      <c r="L50" s="17" t="s">
        <v>72</v>
      </c>
      <c r="M50" s="15" t="s">
        <v>342</v>
      </c>
      <c r="N50" s="17" t="n">
        <v>6</v>
      </c>
      <c r="O50" s="17" t="s">
        <v>343</v>
      </c>
      <c r="P50" s="15"/>
    </row>
    <row r="51" customFormat="false" ht="52.2" hidden="false" customHeight="false" outlineLevel="0" collapsed="false">
      <c r="A51" s="15" t="s">
        <v>289</v>
      </c>
      <c r="B51" s="15" t="s">
        <v>344</v>
      </c>
      <c r="C51" s="16" t="s">
        <v>345</v>
      </c>
      <c r="D51" s="15" t="s">
        <v>346</v>
      </c>
      <c r="E51" s="17" t="n">
        <v>40</v>
      </c>
      <c r="F51" s="15" t="s">
        <v>347</v>
      </c>
      <c r="G51" s="17" t="str">
        <f aca="false">IF(E51="","Yes",IF($C$2&gt;=E51,"Yes","Not yet"))</f>
        <v>Not yet</v>
      </c>
      <c r="H51" s="15" t="s">
        <v>348</v>
      </c>
      <c r="I51" s="15" t="s">
        <v>349</v>
      </c>
      <c r="J51" s="15" t="s">
        <v>296</v>
      </c>
      <c r="K51" s="17" t="s">
        <v>28</v>
      </c>
      <c r="L51" s="17" t="s">
        <v>28</v>
      </c>
      <c r="M51" s="15" t="s">
        <v>350</v>
      </c>
      <c r="N51" s="17" t="n">
        <v>7</v>
      </c>
      <c r="O51" s="17" t="s">
        <v>351</v>
      </c>
      <c r="P51" s="15"/>
    </row>
    <row r="52" customFormat="false" ht="64.9" hidden="false" customHeight="false" outlineLevel="0" collapsed="false">
      <c r="A52" s="15" t="s">
        <v>289</v>
      </c>
      <c r="B52" s="15" t="s">
        <v>352</v>
      </c>
      <c r="C52" s="16" t="s">
        <v>353</v>
      </c>
      <c r="D52" s="15" t="s">
        <v>354</v>
      </c>
      <c r="E52" s="17" t="n">
        <v>40</v>
      </c>
      <c r="F52" s="15" t="s">
        <v>347</v>
      </c>
      <c r="G52" s="17" t="str">
        <f aca="false">IF(E52="","Yes",IF($C$2&gt;=E52,"Yes","Not yet"))</f>
        <v>Not yet</v>
      </c>
      <c r="H52" s="15" t="s">
        <v>355</v>
      </c>
      <c r="I52" s="15" t="s">
        <v>356</v>
      </c>
      <c r="J52" s="15" t="s">
        <v>296</v>
      </c>
      <c r="K52" s="17" t="s">
        <v>357</v>
      </c>
      <c r="L52" s="17" t="s">
        <v>28</v>
      </c>
      <c r="M52" s="15" t="s">
        <v>358</v>
      </c>
      <c r="N52" s="17" t="n">
        <v>8</v>
      </c>
      <c r="O52" s="17" t="s">
        <v>359</v>
      </c>
      <c r="P52" s="15" t="s">
        <v>360</v>
      </c>
    </row>
    <row r="53" customFormat="false" ht="64.9" hidden="false" customHeight="false" outlineLevel="0" collapsed="false">
      <c r="A53" s="15" t="s">
        <v>289</v>
      </c>
      <c r="B53" s="15" t="s">
        <v>352</v>
      </c>
      <c r="C53" s="16" t="s">
        <v>361</v>
      </c>
      <c r="D53" s="15" t="s">
        <v>362</v>
      </c>
      <c r="E53" s="17"/>
      <c r="F53" s="15" t="s">
        <v>321</v>
      </c>
      <c r="G53" s="17" t="str">
        <f aca="false">IF(E53="","Yes",IF($C$2&gt;=E53,"Yes","Not yet"))</f>
        <v>Yes</v>
      </c>
      <c r="H53" s="15" t="s">
        <v>363</v>
      </c>
      <c r="I53" s="15" t="s">
        <v>364</v>
      </c>
      <c r="J53" s="15" t="s">
        <v>296</v>
      </c>
      <c r="K53" s="17" t="s">
        <v>27</v>
      </c>
      <c r="L53" s="17" t="s">
        <v>27</v>
      </c>
      <c r="M53" s="15" t="s">
        <v>365</v>
      </c>
      <c r="N53" s="17" t="n">
        <v>9</v>
      </c>
      <c r="O53" s="17" t="s">
        <v>366</v>
      </c>
      <c r="P53" s="15" t="s">
        <v>367</v>
      </c>
    </row>
    <row r="54" customFormat="false" ht="115.65" hidden="false" customHeight="false" outlineLevel="0" collapsed="false">
      <c r="A54" s="15" t="s">
        <v>289</v>
      </c>
      <c r="B54" s="15" t="s">
        <v>368</v>
      </c>
      <c r="C54" s="16" t="s">
        <v>369</v>
      </c>
      <c r="D54" s="15" t="s">
        <v>370</v>
      </c>
      <c r="E54" s="17" t="n">
        <v>36</v>
      </c>
      <c r="F54" s="15" t="s">
        <v>371</v>
      </c>
      <c r="G54" s="17" t="str">
        <f aca="false">IF(E54="","Yes",IF($C$2&gt;=E54,"Yes","Not yet"))</f>
        <v>Not yet</v>
      </c>
      <c r="H54" s="15" t="s">
        <v>372</v>
      </c>
      <c r="I54" s="15" t="s">
        <v>373</v>
      </c>
      <c r="J54" s="15" t="s">
        <v>296</v>
      </c>
      <c r="K54" s="17" t="s">
        <v>27</v>
      </c>
      <c r="L54" s="17" t="s">
        <v>27</v>
      </c>
      <c r="M54" s="15" t="s">
        <v>374</v>
      </c>
      <c r="N54" s="17" t="n">
        <v>10</v>
      </c>
      <c r="O54" s="17" t="s">
        <v>375</v>
      </c>
      <c r="P54" s="15" t="s">
        <v>376</v>
      </c>
    </row>
    <row r="55" customFormat="false" ht="52.2" hidden="false" customHeight="false" outlineLevel="0" collapsed="false">
      <c r="A55" s="15" t="s">
        <v>289</v>
      </c>
      <c r="B55" s="15" t="s">
        <v>327</v>
      </c>
      <c r="C55" s="16" t="s">
        <v>377</v>
      </c>
      <c r="D55" s="15" t="s">
        <v>378</v>
      </c>
      <c r="E55" s="17"/>
      <c r="F55" s="15" t="s">
        <v>379</v>
      </c>
      <c r="G55" s="17" t="str">
        <f aca="false">IF(E55="","Yes",IF($C$2&gt;=E55,"Yes","Not yet"))</f>
        <v>Yes</v>
      </c>
      <c r="H55" s="15" t="s">
        <v>380</v>
      </c>
      <c r="I55" s="15" t="s">
        <v>381</v>
      </c>
      <c r="J55" s="15" t="s">
        <v>296</v>
      </c>
      <c r="K55" s="17" t="s">
        <v>27</v>
      </c>
      <c r="L55" s="17" t="s">
        <v>99</v>
      </c>
      <c r="M55" s="15" t="s">
        <v>382</v>
      </c>
      <c r="N55" s="17" t="n">
        <v>11</v>
      </c>
      <c r="O55" s="17" t="s">
        <v>383</v>
      </c>
      <c r="P55" s="15" t="s">
        <v>384</v>
      </c>
    </row>
    <row r="56" customFormat="false" ht="102.95" hidden="false" customHeight="false" outlineLevel="0" collapsed="false">
      <c r="A56" s="15" t="s">
        <v>289</v>
      </c>
      <c r="B56" s="15" t="s">
        <v>309</v>
      </c>
      <c r="C56" s="16" t="s">
        <v>385</v>
      </c>
      <c r="D56" s="15" t="s">
        <v>386</v>
      </c>
      <c r="E56" s="17" t="n">
        <v>40</v>
      </c>
      <c r="F56" s="15" t="s">
        <v>347</v>
      </c>
      <c r="G56" s="17" t="str">
        <f aca="false">IF(E56="","Yes",IF($C$2&gt;=E56,"Yes","Not yet"))</f>
        <v>Not yet</v>
      </c>
      <c r="H56" s="15" t="s">
        <v>387</v>
      </c>
      <c r="I56" s="15" t="s">
        <v>388</v>
      </c>
      <c r="J56" s="15" t="s">
        <v>389</v>
      </c>
      <c r="K56" s="17" t="s">
        <v>27</v>
      </c>
      <c r="L56" s="17" t="s">
        <v>27</v>
      </c>
      <c r="M56" s="15"/>
      <c r="N56" s="17" t="n">
        <v>12</v>
      </c>
      <c r="O56" s="17" t="s">
        <v>390</v>
      </c>
      <c r="P56" s="15" t="s">
        <v>391</v>
      </c>
    </row>
    <row r="57" customFormat="false" ht="52.2" hidden="false" customHeight="false" outlineLevel="0" collapsed="false">
      <c r="A57" s="18" t="s">
        <v>392</v>
      </c>
      <c r="B57" s="18" t="s">
        <v>393</v>
      </c>
      <c r="C57" s="19" t="s">
        <v>394</v>
      </c>
      <c r="D57" s="18" t="s">
        <v>395</v>
      </c>
      <c r="E57" s="20" t="n">
        <v>40</v>
      </c>
      <c r="F57" s="18" t="s">
        <v>396</v>
      </c>
      <c r="G57" s="20" t="str">
        <f aca="false">IF(E57="","Yes",IF($C$2&gt;=E57,"Yes","Not yet"))</f>
        <v>Not yet</v>
      </c>
      <c r="H57" s="18" t="s">
        <v>397</v>
      </c>
      <c r="I57" s="18" t="s">
        <v>398</v>
      </c>
      <c r="J57" s="18" t="s">
        <v>399</v>
      </c>
      <c r="K57" s="20" t="s">
        <v>28</v>
      </c>
      <c r="L57" s="20" t="s">
        <v>99</v>
      </c>
      <c r="M57" s="18" t="s">
        <v>400</v>
      </c>
      <c r="N57" s="20"/>
      <c r="O57" s="20" t="s">
        <v>181</v>
      </c>
      <c r="P57" s="18"/>
    </row>
    <row r="58" customFormat="false" ht="52.2" hidden="false" customHeight="false" outlineLevel="0" collapsed="false">
      <c r="A58" s="18" t="s">
        <v>392</v>
      </c>
      <c r="B58" s="18" t="s">
        <v>393</v>
      </c>
      <c r="C58" s="19" t="s">
        <v>401</v>
      </c>
      <c r="D58" s="18" t="s">
        <v>402</v>
      </c>
      <c r="E58" s="20" t="n">
        <v>54</v>
      </c>
      <c r="F58" s="18"/>
      <c r="G58" s="20" t="str">
        <f aca="false">IF(E58="","Yes",IF($C$2&gt;=E58,"Yes","Not yet"))</f>
        <v>Not yet</v>
      </c>
      <c r="H58" s="18" t="s">
        <v>403</v>
      </c>
      <c r="I58" s="18" t="s">
        <v>404</v>
      </c>
      <c r="J58" s="18" t="s">
        <v>399</v>
      </c>
      <c r="K58" s="20" t="s">
        <v>28</v>
      </c>
      <c r="L58" s="20" t="s">
        <v>27</v>
      </c>
      <c r="M58" s="18" t="s">
        <v>405</v>
      </c>
      <c r="N58" s="20"/>
      <c r="O58" s="20" t="s">
        <v>181</v>
      </c>
      <c r="P58" s="18"/>
    </row>
    <row r="59" customFormat="false" ht="64.9" hidden="false" customHeight="false" outlineLevel="0" collapsed="false">
      <c r="A59" s="18" t="s">
        <v>392</v>
      </c>
      <c r="B59" s="18" t="s">
        <v>393</v>
      </c>
      <c r="C59" s="19" t="s">
        <v>406</v>
      </c>
      <c r="D59" s="18" t="s">
        <v>407</v>
      </c>
      <c r="E59" s="20" t="n">
        <v>52</v>
      </c>
      <c r="F59" s="18" t="s">
        <v>408</v>
      </c>
      <c r="G59" s="20" t="str">
        <f aca="false">IF(E59="","Yes",IF($C$2&gt;=E59,"Yes","Not yet"))</f>
        <v>Not yet</v>
      </c>
      <c r="H59" s="18" t="s">
        <v>409</v>
      </c>
      <c r="I59" s="18" t="s">
        <v>410</v>
      </c>
      <c r="J59" s="18" t="s">
        <v>399</v>
      </c>
      <c r="K59" s="20" t="s">
        <v>28</v>
      </c>
      <c r="L59" s="20" t="s">
        <v>27</v>
      </c>
      <c r="M59" s="18" t="s">
        <v>411</v>
      </c>
      <c r="N59" s="20"/>
      <c r="O59" s="20" t="s">
        <v>181</v>
      </c>
      <c r="P59" s="18"/>
    </row>
    <row r="60" customFormat="false" ht="52.2" hidden="false" customHeight="false" outlineLevel="0" collapsed="false">
      <c r="A60" s="18" t="s">
        <v>392</v>
      </c>
      <c r="B60" s="18" t="s">
        <v>393</v>
      </c>
      <c r="C60" s="19" t="s">
        <v>412</v>
      </c>
      <c r="D60" s="18" t="s">
        <v>413</v>
      </c>
      <c r="E60" s="20"/>
      <c r="F60" s="18" t="s">
        <v>414</v>
      </c>
      <c r="G60" s="20" t="str">
        <f aca="false">IF(E60="","Yes",IF($C$2&gt;=E60,"Yes","Not yet"))</f>
        <v>Yes</v>
      </c>
      <c r="H60" s="18" t="s">
        <v>415</v>
      </c>
      <c r="I60" s="18" t="s">
        <v>416</v>
      </c>
      <c r="J60" s="18" t="s">
        <v>399</v>
      </c>
      <c r="K60" s="20" t="s">
        <v>27</v>
      </c>
      <c r="L60" s="20" t="s">
        <v>27</v>
      </c>
      <c r="M60" s="18" t="s">
        <v>417</v>
      </c>
      <c r="N60" s="20"/>
      <c r="O60" s="20" t="s">
        <v>181</v>
      </c>
      <c r="P60" s="18" t="s">
        <v>418</v>
      </c>
    </row>
    <row r="61" customFormat="false" ht="64.9" hidden="false" customHeight="false" outlineLevel="0" collapsed="false">
      <c r="A61" s="18" t="s">
        <v>392</v>
      </c>
      <c r="B61" s="18" t="s">
        <v>419</v>
      </c>
      <c r="C61" s="19" t="s">
        <v>420</v>
      </c>
      <c r="D61" s="18" t="s">
        <v>421</v>
      </c>
      <c r="E61" s="20" t="n">
        <v>44</v>
      </c>
      <c r="F61" s="18" t="s">
        <v>396</v>
      </c>
      <c r="G61" s="20" t="str">
        <f aca="false">IF(E61="","Yes",IF($C$2&gt;=E61,"Yes","Not yet"))</f>
        <v>Not yet</v>
      </c>
      <c r="H61" s="18" t="s">
        <v>422</v>
      </c>
      <c r="I61" s="18" t="s">
        <v>423</v>
      </c>
      <c r="J61" s="18" t="s">
        <v>399</v>
      </c>
      <c r="K61" s="20" t="s">
        <v>28</v>
      </c>
      <c r="L61" s="20" t="s">
        <v>27</v>
      </c>
      <c r="M61" s="18" t="s">
        <v>424</v>
      </c>
      <c r="N61" s="20"/>
      <c r="O61" s="20" t="s">
        <v>181</v>
      </c>
      <c r="P61" s="18" t="s">
        <v>425</v>
      </c>
    </row>
    <row r="62" customFormat="false" ht="52.2" hidden="false" customHeight="false" outlineLevel="0" collapsed="false">
      <c r="A62" s="18" t="s">
        <v>392</v>
      </c>
      <c r="B62" s="18" t="s">
        <v>419</v>
      </c>
      <c r="C62" s="19" t="s">
        <v>426</v>
      </c>
      <c r="D62" s="18" t="s">
        <v>427</v>
      </c>
      <c r="E62" s="20" t="n">
        <v>42</v>
      </c>
      <c r="F62" s="18" t="s">
        <v>396</v>
      </c>
      <c r="G62" s="20" t="str">
        <f aca="false">IF(E62="","Yes",IF($C$2&gt;=E62,"Yes","Not yet"))</f>
        <v>Not yet</v>
      </c>
      <c r="H62" s="18" t="s">
        <v>428</v>
      </c>
      <c r="I62" s="18" t="s">
        <v>429</v>
      </c>
      <c r="J62" s="18" t="s">
        <v>399</v>
      </c>
      <c r="K62" s="20" t="s">
        <v>27</v>
      </c>
      <c r="L62" s="20" t="s">
        <v>72</v>
      </c>
      <c r="M62" s="18" t="s">
        <v>430</v>
      </c>
      <c r="N62" s="20"/>
      <c r="O62" s="20" t="s">
        <v>181</v>
      </c>
      <c r="P62" s="18" t="s">
        <v>431</v>
      </c>
    </row>
    <row r="63" customFormat="false" ht="90.25" hidden="false" customHeight="false" outlineLevel="0" collapsed="false">
      <c r="A63" s="18" t="s">
        <v>392</v>
      </c>
      <c r="B63" s="18" t="s">
        <v>432</v>
      </c>
      <c r="C63" s="19" t="s">
        <v>433</v>
      </c>
      <c r="D63" s="18" t="s">
        <v>434</v>
      </c>
      <c r="E63" s="20" t="n">
        <v>36</v>
      </c>
      <c r="F63" s="18" t="s">
        <v>435</v>
      </c>
      <c r="G63" s="20" t="str">
        <f aca="false">IF(E63="","Yes",IF($C$2&gt;=E63,"Yes","Not yet"))</f>
        <v>Not yet</v>
      </c>
      <c r="H63" s="18" t="s">
        <v>436</v>
      </c>
      <c r="I63" s="18" t="s">
        <v>437</v>
      </c>
      <c r="J63" s="18" t="s">
        <v>399</v>
      </c>
      <c r="K63" s="20" t="s">
        <v>28</v>
      </c>
      <c r="L63" s="20" t="s">
        <v>99</v>
      </c>
      <c r="M63" s="18" t="s">
        <v>438</v>
      </c>
      <c r="N63" s="20"/>
      <c r="O63" s="20" t="s">
        <v>181</v>
      </c>
      <c r="P63" s="18"/>
    </row>
    <row r="64" customFormat="false" ht="102.95" hidden="false" customHeight="false" outlineLevel="0" collapsed="false">
      <c r="A64" s="18" t="s">
        <v>392</v>
      </c>
      <c r="B64" s="18" t="s">
        <v>439</v>
      </c>
      <c r="C64" s="19" t="s">
        <v>440</v>
      </c>
      <c r="D64" s="18" t="s">
        <v>441</v>
      </c>
      <c r="E64" s="20" t="n">
        <v>42</v>
      </c>
      <c r="F64" s="18" t="s">
        <v>396</v>
      </c>
      <c r="G64" s="20" t="str">
        <f aca="false">IF(E64="","Yes",IF($C$2&gt;=E64,"Yes","Not yet"))</f>
        <v>Not yet</v>
      </c>
      <c r="H64" s="18" t="s">
        <v>442</v>
      </c>
      <c r="I64" s="18" t="s">
        <v>443</v>
      </c>
      <c r="J64" s="18" t="s">
        <v>399</v>
      </c>
      <c r="K64" s="20" t="s">
        <v>28</v>
      </c>
      <c r="L64" s="20" t="s">
        <v>72</v>
      </c>
      <c r="M64" s="18" t="s">
        <v>444</v>
      </c>
      <c r="N64" s="20"/>
      <c r="O64" s="20" t="s">
        <v>181</v>
      </c>
      <c r="P64" s="18" t="s">
        <v>445</v>
      </c>
    </row>
    <row r="65" customFormat="false" ht="52.2" hidden="false" customHeight="false" outlineLevel="0" collapsed="false">
      <c r="A65" s="18" t="s">
        <v>392</v>
      </c>
      <c r="B65" s="18" t="s">
        <v>439</v>
      </c>
      <c r="C65" s="19" t="s">
        <v>446</v>
      </c>
      <c r="D65" s="18" t="s">
        <v>402</v>
      </c>
      <c r="E65" s="20" t="n">
        <v>51</v>
      </c>
      <c r="F65" s="18"/>
      <c r="G65" s="20" t="str">
        <f aca="false">IF(E65="","Yes",IF($C$2&gt;=E65,"Yes","Not yet"))</f>
        <v>Not yet</v>
      </c>
      <c r="H65" s="18" t="s">
        <v>447</v>
      </c>
      <c r="I65" s="18" t="s">
        <v>448</v>
      </c>
      <c r="J65" s="18" t="s">
        <v>399</v>
      </c>
      <c r="K65" s="20" t="s">
        <v>28</v>
      </c>
      <c r="L65" s="20" t="s">
        <v>99</v>
      </c>
      <c r="M65" s="18" t="s">
        <v>449</v>
      </c>
      <c r="N65" s="20"/>
      <c r="O65" s="20" t="s">
        <v>181</v>
      </c>
      <c r="P65" s="18" t="s">
        <v>450</v>
      </c>
    </row>
    <row r="66" customFormat="false" ht="128.35" hidden="false" customHeight="false" outlineLevel="0" collapsed="false">
      <c r="A66" s="18" t="s">
        <v>392</v>
      </c>
      <c r="B66" s="18" t="s">
        <v>439</v>
      </c>
      <c r="C66" s="19" t="s">
        <v>451</v>
      </c>
      <c r="D66" s="18" t="s">
        <v>452</v>
      </c>
      <c r="E66" s="20" t="n">
        <v>36</v>
      </c>
      <c r="F66" s="18" t="s">
        <v>453</v>
      </c>
      <c r="G66" s="20" t="str">
        <f aca="false">IF(E66="","Yes",IF($C$2&gt;=E66,"Yes","Not yet"))</f>
        <v>Not yet</v>
      </c>
      <c r="H66" s="18" t="s">
        <v>439</v>
      </c>
      <c r="I66" s="18" t="s">
        <v>454</v>
      </c>
      <c r="J66" s="18" t="s">
        <v>455</v>
      </c>
      <c r="K66" s="20" t="s">
        <v>27</v>
      </c>
      <c r="L66" s="20" t="s">
        <v>99</v>
      </c>
      <c r="M66" s="18" t="s">
        <v>456</v>
      </c>
      <c r="N66" s="20"/>
      <c r="O66" s="20" t="s">
        <v>181</v>
      </c>
      <c r="P66" s="18" t="s">
        <v>457</v>
      </c>
    </row>
    <row r="67" customFormat="false" ht="77.6" hidden="false" customHeight="false" outlineLevel="0" collapsed="false">
      <c r="A67" s="18" t="s">
        <v>392</v>
      </c>
      <c r="B67" s="18" t="s">
        <v>458</v>
      </c>
      <c r="C67" s="19" t="s">
        <v>459</v>
      </c>
      <c r="D67" s="18" t="s">
        <v>460</v>
      </c>
      <c r="E67" s="20" t="n">
        <v>48</v>
      </c>
      <c r="F67" s="18"/>
      <c r="G67" s="20" t="str">
        <f aca="false">IF(E67="","Yes",IF($C$2&gt;=E67,"Yes","Not yet"))</f>
        <v>Not yet</v>
      </c>
      <c r="H67" s="18" t="s">
        <v>461</v>
      </c>
      <c r="I67" s="18" t="s">
        <v>462</v>
      </c>
      <c r="J67" s="18" t="s">
        <v>399</v>
      </c>
      <c r="K67" s="20" t="s">
        <v>28</v>
      </c>
      <c r="L67" s="20" t="s">
        <v>28</v>
      </c>
      <c r="M67" s="18" t="s">
        <v>463</v>
      </c>
      <c r="N67" s="20"/>
      <c r="O67" s="20" t="s">
        <v>181</v>
      </c>
      <c r="P67" s="18" t="s">
        <v>464</v>
      </c>
    </row>
    <row r="68" customFormat="false" ht="204.45" hidden="false" customHeight="false" outlineLevel="0" collapsed="false">
      <c r="A68" s="18" t="s">
        <v>392</v>
      </c>
      <c r="B68" s="18" t="s">
        <v>458</v>
      </c>
      <c r="C68" s="19" t="s">
        <v>465</v>
      </c>
      <c r="D68" s="18" t="s">
        <v>466</v>
      </c>
      <c r="E68" s="20" t="n">
        <v>48</v>
      </c>
      <c r="F68" s="18"/>
      <c r="G68" s="20" t="str">
        <f aca="false">IF(E68="","Yes",IF($C$2&gt;=E68,"Yes","Not yet"))</f>
        <v>Not yet</v>
      </c>
      <c r="H68" s="18" t="s">
        <v>467</v>
      </c>
      <c r="I68" s="18" t="s">
        <v>468</v>
      </c>
      <c r="J68" s="18" t="s">
        <v>469</v>
      </c>
      <c r="K68" s="20" t="s">
        <v>470</v>
      </c>
      <c r="L68" s="20" t="s">
        <v>99</v>
      </c>
      <c r="M68" s="18" t="s">
        <v>471</v>
      </c>
      <c r="N68" s="20"/>
      <c r="O68" s="20" t="s">
        <v>181</v>
      </c>
      <c r="P68" s="18" t="s">
        <v>472</v>
      </c>
    </row>
    <row r="69" customFormat="false" ht="90.25" hidden="false" customHeight="false" outlineLevel="0" collapsed="false">
      <c r="A69" s="18" t="s">
        <v>392</v>
      </c>
      <c r="B69" s="18" t="s">
        <v>458</v>
      </c>
      <c r="C69" s="19" t="s">
        <v>473</v>
      </c>
      <c r="D69" s="18" t="s">
        <v>474</v>
      </c>
      <c r="E69" s="20" t="n">
        <v>36</v>
      </c>
      <c r="F69" s="18" t="s">
        <v>435</v>
      </c>
      <c r="G69" s="20" t="str">
        <f aca="false">IF(E69="","Yes",IF($C$2&gt;=E69,"Yes","Not yet"))</f>
        <v>Not yet</v>
      </c>
      <c r="H69" s="18" t="s">
        <v>475</v>
      </c>
      <c r="I69" s="18" t="s">
        <v>476</v>
      </c>
      <c r="J69" s="18" t="s">
        <v>399</v>
      </c>
      <c r="K69" s="20" t="s">
        <v>27</v>
      </c>
      <c r="L69" s="20" t="s">
        <v>28</v>
      </c>
      <c r="M69" s="18" t="s">
        <v>477</v>
      </c>
      <c r="N69" s="20"/>
      <c r="O69" s="20" t="s">
        <v>181</v>
      </c>
      <c r="P69" s="18" t="s">
        <v>478</v>
      </c>
    </row>
    <row r="70" customFormat="false" ht="90.25" hidden="false" customHeight="false" outlineLevel="0" collapsed="false">
      <c r="A70" s="18" t="s">
        <v>392</v>
      </c>
      <c r="B70" s="18" t="s">
        <v>458</v>
      </c>
      <c r="C70" s="19" t="s">
        <v>479</v>
      </c>
      <c r="D70" s="18" t="s">
        <v>480</v>
      </c>
      <c r="E70" s="20"/>
      <c r="F70" s="18" t="s">
        <v>414</v>
      </c>
      <c r="G70" s="20" t="str">
        <f aca="false">IF(E70="","Yes",IF($C$2&gt;=E70,"Yes","Not yet"))</f>
        <v>Yes</v>
      </c>
      <c r="H70" s="18" t="s">
        <v>461</v>
      </c>
      <c r="I70" s="18" t="s">
        <v>481</v>
      </c>
      <c r="J70" s="18" t="s">
        <v>482</v>
      </c>
      <c r="K70" s="20" t="s">
        <v>27</v>
      </c>
      <c r="L70" s="20" t="s">
        <v>99</v>
      </c>
      <c r="M70" s="18" t="s">
        <v>483</v>
      </c>
      <c r="N70" s="20"/>
      <c r="O70" s="20" t="s">
        <v>181</v>
      </c>
      <c r="P70" s="18" t="s">
        <v>484</v>
      </c>
    </row>
    <row r="71" customFormat="false" ht="90.25" hidden="false" customHeight="false" outlineLevel="0" collapsed="false">
      <c r="A71" s="18" t="s">
        <v>392</v>
      </c>
      <c r="B71" s="18" t="s">
        <v>485</v>
      </c>
      <c r="C71" s="19" t="s">
        <v>486</v>
      </c>
      <c r="D71" s="18" t="s">
        <v>487</v>
      </c>
      <c r="E71" s="20" t="n">
        <v>36</v>
      </c>
      <c r="F71" s="18" t="s">
        <v>435</v>
      </c>
      <c r="G71" s="20" t="str">
        <f aca="false">IF(E71="","Yes",IF($C$2&gt;=E71,"Yes","Not yet"))</f>
        <v>Not yet</v>
      </c>
      <c r="H71" s="18" t="s">
        <v>488</v>
      </c>
      <c r="I71" s="18" t="s">
        <v>489</v>
      </c>
      <c r="J71" s="18" t="s">
        <v>399</v>
      </c>
      <c r="K71" s="20" t="s">
        <v>27</v>
      </c>
      <c r="L71" s="20" t="s">
        <v>27</v>
      </c>
      <c r="M71" s="18" t="s">
        <v>490</v>
      </c>
      <c r="N71" s="20"/>
      <c r="O71" s="20" t="s">
        <v>181</v>
      </c>
      <c r="P71" s="18"/>
    </row>
    <row r="72" customFormat="false" ht="52.2" hidden="false" customHeight="false" outlineLevel="0" collapsed="false">
      <c r="A72" s="18" t="s">
        <v>392</v>
      </c>
      <c r="B72" s="18" t="s">
        <v>485</v>
      </c>
      <c r="C72" s="19" t="s">
        <v>491</v>
      </c>
      <c r="D72" s="18" t="s">
        <v>492</v>
      </c>
      <c r="E72" s="20"/>
      <c r="F72" s="18" t="s">
        <v>414</v>
      </c>
      <c r="G72" s="20" t="str">
        <f aca="false">IF(E72="","Yes",IF($C$2&gt;=E72,"Yes","Not yet"))</f>
        <v>Yes</v>
      </c>
      <c r="H72" s="18" t="s">
        <v>493</v>
      </c>
      <c r="I72" s="18" t="s">
        <v>494</v>
      </c>
      <c r="J72" s="18" t="s">
        <v>399</v>
      </c>
      <c r="K72" s="20" t="s">
        <v>27</v>
      </c>
      <c r="L72" s="20" t="s">
        <v>27</v>
      </c>
      <c r="M72" s="18" t="s">
        <v>495</v>
      </c>
      <c r="N72" s="20"/>
      <c r="O72" s="20" t="s">
        <v>181</v>
      </c>
      <c r="P72" s="18" t="s">
        <v>496</v>
      </c>
    </row>
    <row r="73" customFormat="false" ht="52.2" hidden="false" customHeight="false" outlineLevel="0" collapsed="false">
      <c r="A73" s="18" t="s">
        <v>392</v>
      </c>
      <c r="B73" s="18" t="s">
        <v>485</v>
      </c>
      <c r="C73" s="19" t="s">
        <v>497</v>
      </c>
      <c r="D73" s="18" t="s">
        <v>498</v>
      </c>
      <c r="E73" s="20"/>
      <c r="F73" s="18" t="s">
        <v>414</v>
      </c>
      <c r="G73" s="20" t="str">
        <f aca="false">IF(E73="","Yes",IF($C$2&gt;=E73,"Yes","Not yet"))</f>
        <v>Yes</v>
      </c>
      <c r="H73" s="18" t="s">
        <v>499</v>
      </c>
      <c r="I73" s="18" t="s">
        <v>500</v>
      </c>
      <c r="J73" s="18" t="s">
        <v>399</v>
      </c>
      <c r="K73" s="20" t="s">
        <v>27</v>
      </c>
      <c r="L73" s="20" t="s">
        <v>27</v>
      </c>
      <c r="M73" s="18" t="s">
        <v>501</v>
      </c>
      <c r="N73" s="20"/>
      <c r="O73" s="20" t="s">
        <v>181</v>
      </c>
      <c r="P73" s="18" t="s">
        <v>502</v>
      </c>
    </row>
    <row r="74" customFormat="false" ht="90.25" hidden="false" customHeight="false" outlineLevel="0" collapsed="false">
      <c r="A74" s="18" t="s">
        <v>392</v>
      </c>
      <c r="B74" s="18" t="s">
        <v>485</v>
      </c>
      <c r="C74" s="19" t="s">
        <v>503</v>
      </c>
      <c r="D74" s="18" t="s">
        <v>504</v>
      </c>
      <c r="E74" s="20" t="n">
        <v>36</v>
      </c>
      <c r="F74" s="18" t="s">
        <v>435</v>
      </c>
      <c r="G74" s="20" t="str">
        <f aca="false">IF(E74="","Yes",IF($C$2&gt;=E74,"Yes","Not yet"))</f>
        <v>Not yet</v>
      </c>
      <c r="H74" s="18" t="s">
        <v>505</v>
      </c>
      <c r="I74" s="18" t="s">
        <v>506</v>
      </c>
      <c r="J74" s="18" t="s">
        <v>399</v>
      </c>
      <c r="K74" s="20" t="s">
        <v>27</v>
      </c>
      <c r="L74" s="20" t="s">
        <v>27</v>
      </c>
      <c r="M74" s="18"/>
      <c r="N74" s="20"/>
      <c r="O74" s="20" t="s">
        <v>181</v>
      </c>
      <c r="P74" s="18" t="s">
        <v>507</v>
      </c>
    </row>
    <row r="75" customFormat="false" ht="52.2" hidden="false" customHeight="false" outlineLevel="0" collapsed="false">
      <c r="A75" s="21" t="s">
        <v>508</v>
      </c>
      <c r="B75" s="21" t="s">
        <v>509</v>
      </c>
      <c r="C75" s="22" t="s">
        <v>510</v>
      </c>
      <c r="D75" s="21" t="s">
        <v>511</v>
      </c>
      <c r="E75" s="23" t="n">
        <v>40</v>
      </c>
      <c r="F75" s="21"/>
      <c r="G75" s="23" t="str">
        <f aca="false">IF(E75="","Yes",IF($C$2&gt;=E75,"Yes","Not yet"))</f>
        <v>Not yet</v>
      </c>
      <c r="H75" s="21" t="s">
        <v>512</v>
      </c>
      <c r="I75" s="21" t="s">
        <v>513</v>
      </c>
      <c r="J75" s="21" t="s">
        <v>514</v>
      </c>
      <c r="K75" s="23" t="s">
        <v>28</v>
      </c>
      <c r="L75" s="23" t="s">
        <v>99</v>
      </c>
      <c r="M75" s="21" t="s">
        <v>515</v>
      </c>
      <c r="N75" s="23" t="n">
        <v>1</v>
      </c>
      <c r="O75" s="23" t="s">
        <v>516</v>
      </c>
      <c r="P75" s="21" t="s">
        <v>517</v>
      </c>
    </row>
    <row r="76" customFormat="false" ht="39.55" hidden="false" customHeight="false" outlineLevel="0" collapsed="false">
      <c r="A76" s="21" t="s">
        <v>508</v>
      </c>
      <c r="B76" s="21" t="s">
        <v>518</v>
      </c>
      <c r="C76" s="22" t="s">
        <v>519</v>
      </c>
      <c r="D76" s="21" t="s">
        <v>520</v>
      </c>
      <c r="E76" s="23" t="n">
        <v>48</v>
      </c>
      <c r="F76" s="21"/>
      <c r="G76" s="23" t="str">
        <f aca="false">IF(E76="","Yes",IF($C$2&gt;=E76,"Yes","Not yet"))</f>
        <v>Not yet</v>
      </c>
      <c r="H76" s="21" t="s">
        <v>521</v>
      </c>
      <c r="I76" s="21" t="s">
        <v>522</v>
      </c>
      <c r="J76" s="21" t="s">
        <v>523</v>
      </c>
      <c r="K76" s="23" t="s">
        <v>28</v>
      </c>
      <c r="L76" s="23" t="s">
        <v>27</v>
      </c>
      <c r="M76" s="21"/>
      <c r="N76" s="23" t="n">
        <v>2</v>
      </c>
      <c r="O76" s="23" t="s">
        <v>524</v>
      </c>
      <c r="P76" s="21"/>
    </row>
    <row r="77" customFormat="false" ht="15" hidden="false" customHeight="false" outlineLevel="0" collapsed="false">
      <c r="A77" s="21" t="s">
        <v>508</v>
      </c>
      <c r="B77" s="21" t="s">
        <v>525</v>
      </c>
      <c r="C77" s="22" t="s">
        <v>526</v>
      </c>
      <c r="D77" s="21" t="s">
        <v>527</v>
      </c>
      <c r="E77" s="23" t="n">
        <v>48</v>
      </c>
      <c r="F77" s="21"/>
      <c r="G77" s="23" t="str">
        <f aca="false">IF(E77="","Yes",IF($C$2&gt;=E77,"Yes","Not yet"))</f>
        <v>Not yet</v>
      </c>
      <c r="H77" s="21" t="s">
        <v>528</v>
      </c>
      <c r="I77" s="21" t="s">
        <v>37</v>
      </c>
      <c r="J77" s="21" t="s">
        <v>523</v>
      </c>
      <c r="K77" s="23" t="s">
        <v>28</v>
      </c>
      <c r="L77" s="23" t="s">
        <v>27</v>
      </c>
      <c r="M77" s="21"/>
      <c r="N77" s="23" t="n">
        <v>3</v>
      </c>
      <c r="O77" s="23" t="s">
        <v>529</v>
      </c>
      <c r="P77" s="21"/>
    </row>
    <row r="78" customFormat="false" ht="39.55" hidden="false" customHeight="false" outlineLevel="0" collapsed="false">
      <c r="A78" s="21" t="s">
        <v>508</v>
      </c>
      <c r="B78" s="21" t="s">
        <v>530</v>
      </c>
      <c r="C78" s="22" t="s">
        <v>531</v>
      </c>
      <c r="D78" s="21" t="s">
        <v>532</v>
      </c>
      <c r="E78" s="23" t="n">
        <v>40</v>
      </c>
      <c r="F78" s="21"/>
      <c r="G78" s="23" t="str">
        <f aca="false">IF(E78="","Yes",IF($C$2&gt;=E78,"Yes","Not yet"))</f>
        <v>Not yet</v>
      </c>
      <c r="H78" s="21" t="s">
        <v>533</v>
      </c>
      <c r="I78" s="21" t="s">
        <v>534</v>
      </c>
      <c r="J78" s="21" t="s">
        <v>514</v>
      </c>
      <c r="K78" s="23" t="s">
        <v>28</v>
      </c>
      <c r="L78" s="23" t="s">
        <v>27</v>
      </c>
      <c r="M78" s="21" t="s">
        <v>535</v>
      </c>
      <c r="N78" s="23" t="n">
        <v>4</v>
      </c>
      <c r="O78" s="23" t="s">
        <v>536</v>
      </c>
      <c r="P78" s="21"/>
    </row>
    <row r="79" customFormat="false" ht="26.85" hidden="false" customHeight="false" outlineLevel="0" collapsed="false">
      <c r="A79" s="21" t="s">
        <v>508</v>
      </c>
      <c r="B79" s="21" t="s">
        <v>537</v>
      </c>
      <c r="C79" s="22" t="s">
        <v>538</v>
      </c>
      <c r="D79" s="21" t="s">
        <v>539</v>
      </c>
      <c r="E79" s="23" t="n">
        <v>40</v>
      </c>
      <c r="F79" s="21"/>
      <c r="G79" s="23" t="str">
        <f aca="false">IF(E79="","Yes",IF($C$2&gt;=E79,"Yes","Not yet"))</f>
        <v>Not yet</v>
      </c>
      <c r="H79" s="21" t="s">
        <v>540</v>
      </c>
      <c r="I79" s="21" t="s">
        <v>541</v>
      </c>
      <c r="J79" s="21" t="s">
        <v>523</v>
      </c>
      <c r="K79" s="23" t="s">
        <v>28</v>
      </c>
      <c r="L79" s="23" t="s">
        <v>28</v>
      </c>
      <c r="M79" s="21" t="s">
        <v>542</v>
      </c>
      <c r="N79" s="23" t="n">
        <v>5</v>
      </c>
      <c r="O79" s="23" t="s">
        <v>543</v>
      </c>
      <c r="P79" s="21"/>
    </row>
    <row r="80" customFormat="false" ht="52.2" hidden="false" customHeight="false" outlineLevel="0" collapsed="false">
      <c r="A80" s="21" t="s">
        <v>508</v>
      </c>
      <c r="B80" s="21" t="s">
        <v>544</v>
      </c>
      <c r="C80" s="22" t="s">
        <v>545</v>
      </c>
      <c r="D80" s="21" t="s">
        <v>546</v>
      </c>
      <c r="E80" s="23" t="n">
        <v>40</v>
      </c>
      <c r="F80" s="21"/>
      <c r="G80" s="23" t="str">
        <f aca="false">IF(E80="","Yes",IF($C$2&gt;=E80,"Yes","Not yet"))</f>
        <v>Not yet</v>
      </c>
      <c r="H80" s="21" t="s">
        <v>547</v>
      </c>
      <c r="I80" s="21" t="s">
        <v>548</v>
      </c>
      <c r="J80" s="21" t="s">
        <v>523</v>
      </c>
      <c r="K80" s="23" t="s">
        <v>549</v>
      </c>
      <c r="L80" s="23" t="s">
        <v>27</v>
      </c>
      <c r="M80" s="21"/>
      <c r="N80" s="23" t="n">
        <v>6</v>
      </c>
      <c r="O80" s="23" t="s">
        <v>550</v>
      </c>
      <c r="P80" s="21" t="s">
        <v>551</v>
      </c>
    </row>
    <row r="81" customFormat="false" ht="39.55" hidden="false" customHeight="false" outlineLevel="0" collapsed="false">
      <c r="A81" s="21" t="s">
        <v>508</v>
      </c>
      <c r="B81" s="21" t="s">
        <v>525</v>
      </c>
      <c r="C81" s="22" t="s">
        <v>552</v>
      </c>
      <c r="D81" s="21" t="s">
        <v>160</v>
      </c>
      <c r="E81" s="23"/>
      <c r="F81" s="21" t="s">
        <v>553</v>
      </c>
      <c r="G81" s="23" t="str">
        <f aca="false">IF(E81="","Yes",IF($C$2&gt;=E81,"Yes","Not yet"))</f>
        <v>Yes</v>
      </c>
      <c r="H81" s="21" t="s">
        <v>554</v>
      </c>
      <c r="I81" s="21" t="s">
        <v>37</v>
      </c>
      <c r="J81" s="21" t="s">
        <v>523</v>
      </c>
      <c r="K81" s="23" t="s">
        <v>27</v>
      </c>
      <c r="L81" s="23" t="s">
        <v>27</v>
      </c>
      <c r="M81" s="21"/>
      <c r="N81" s="23" t="n">
        <v>7</v>
      </c>
      <c r="O81" s="23" t="s">
        <v>555</v>
      </c>
      <c r="P81" s="21" t="s">
        <v>556</v>
      </c>
    </row>
    <row r="82" customFormat="false" ht="39.55" hidden="false" customHeight="false" outlineLevel="0" collapsed="false">
      <c r="A82" s="21" t="s">
        <v>508</v>
      </c>
      <c r="B82" s="21" t="s">
        <v>518</v>
      </c>
      <c r="C82" s="22" t="s">
        <v>557</v>
      </c>
      <c r="D82" s="21" t="s">
        <v>558</v>
      </c>
      <c r="E82" s="23" t="n">
        <v>40</v>
      </c>
      <c r="F82" s="21" t="s">
        <v>559</v>
      </c>
      <c r="G82" s="23" t="str">
        <f aca="false">IF(E82="","Yes",IF($C$2&gt;=E82,"Yes","Not yet"))</f>
        <v>Not yet</v>
      </c>
      <c r="H82" s="21" t="s">
        <v>560</v>
      </c>
      <c r="I82" s="21" t="s">
        <v>561</v>
      </c>
      <c r="J82" s="21" t="s">
        <v>523</v>
      </c>
      <c r="K82" s="23" t="s">
        <v>28</v>
      </c>
      <c r="L82" s="23" t="s">
        <v>27</v>
      </c>
      <c r="M82" s="21"/>
      <c r="N82" s="23" t="n">
        <v>8</v>
      </c>
      <c r="O82" s="23" t="s">
        <v>562</v>
      </c>
      <c r="P82" s="21"/>
    </row>
    <row r="83" customFormat="false" ht="39.55" hidden="false" customHeight="false" outlineLevel="0" collapsed="false">
      <c r="A83" s="21" t="s">
        <v>508</v>
      </c>
      <c r="B83" s="21" t="s">
        <v>537</v>
      </c>
      <c r="C83" s="22" t="s">
        <v>563</v>
      </c>
      <c r="D83" s="21" t="s">
        <v>564</v>
      </c>
      <c r="E83" s="23" t="n">
        <v>34</v>
      </c>
      <c r="F83" s="21" t="s">
        <v>565</v>
      </c>
      <c r="G83" s="23" t="str">
        <f aca="false">IF(E83="","Yes",IF($C$2&gt;=E83,"Yes","Not yet"))</f>
        <v>Yes</v>
      </c>
      <c r="H83" s="21" t="s">
        <v>566</v>
      </c>
      <c r="I83" s="21" t="s">
        <v>567</v>
      </c>
      <c r="J83" s="21" t="s">
        <v>523</v>
      </c>
      <c r="K83" s="23" t="s">
        <v>27</v>
      </c>
      <c r="L83" s="23" t="s">
        <v>27</v>
      </c>
      <c r="M83" s="21" t="s">
        <v>568</v>
      </c>
      <c r="N83" s="23" t="n">
        <v>9</v>
      </c>
      <c r="O83" s="23" t="s">
        <v>569</v>
      </c>
      <c r="P83" s="21" t="s">
        <v>570</v>
      </c>
    </row>
    <row r="84" customFormat="false" ht="26.85" hidden="false" customHeight="false" outlineLevel="0" collapsed="false">
      <c r="A84" s="21" t="s">
        <v>508</v>
      </c>
      <c r="B84" s="21" t="s">
        <v>544</v>
      </c>
      <c r="C84" s="22" t="s">
        <v>571</v>
      </c>
      <c r="D84" s="21" t="s">
        <v>572</v>
      </c>
      <c r="E84" s="23" t="n">
        <v>48</v>
      </c>
      <c r="F84" s="21"/>
      <c r="G84" s="23" t="str">
        <f aca="false">IF(E84="","Yes",IF($C$2&gt;=E84,"Yes","Not yet"))</f>
        <v>Not yet</v>
      </c>
      <c r="H84" s="21" t="s">
        <v>547</v>
      </c>
      <c r="I84" s="21" t="s">
        <v>548</v>
      </c>
      <c r="J84" s="21" t="s">
        <v>573</v>
      </c>
      <c r="K84" s="23" t="s">
        <v>27</v>
      </c>
      <c r="L84" s="23" t="s">
        <v>27</v>
      </c>
      <c r="M84" s="21"/>
      <c r="N84" s="23" t="n">
        <v>10</v>
      </c>
      <c r="O84" s="23" t="s">
        <v>574</v>
      </c>
      <c r="P84" s="21" t="s">
        <v>575</v>
      </c>
    </row>
    <row r="85" customFormat="false" ht="52.2" hidden="false" customHeight="false" outlineLevel="0" collapsed="false">
      <c r="A85" s="21" t="s">
        <v>508</v>
      </c>
      <c r="B85" s="21" t="s">
        <v>544</v>
      </c>
      <c r="C85" s="22" t="s">
        <v>576</v>
      </c>
      <c r="D85" s="21" t="s">
        <v>577</v>
      </c>
      <c r="E85" s="23"/>
      <c r="F85" s="21" t="s">
        <v>553</v>
      </c>
      <c r="G85" s="23" t="str">
        <f aca="false">IF(E85="","Yes",IF($C$2&gt;=E85,"Yes","Not yet"))</f>
        <v>Yes</v>
      </c>
      <c r="H85" s="21" t="s">
        <v>578</v>
      </c>
      <c r="I85" s="21" t="s">
        <v>579</v>
      </c>
      <c r="J85" s="21" t="s">
        <v>523</v>
      </c>
      <c r="K85" s="23" t="s">
        <v>27</v>
      </c>
      <c r="L85" s="23" t="s">
        <v>27</v>
      </c>
      <c r="M85" s="21"/>
      <c r="N85" s="23" t="n">
        <v>11</v>
      </c>
      <c r="O85" s="23" t="s">
        <v>580</v>
      </c>
      <c r="P85" s="21" t="s">
        <v>581</v>
      </c>
    </row>
    <row r="86" customFormat="false" ht="90.25" hidden="false" customHeight="false" outlineLevel="0" collapsed="false">
      <c r="A86" s="24" t="s">
        <v>582</v>
      </c>
      <c r="B86" s="24" t="s">
        <v>583</v>
      </c>
      <c r="C86" s="25" t="s">
        <v>584</v>
      </c>
      <c r="D86" s="24" t="s">
        <v>585</v>
      </c>
      <c r="E86" s="26" t="n">
        <v>54</v>
      </c>
      <c r="F86" s="24" t="s">
        <v>586</v>
      </c>
      <c r="G86" s="26" t="str">
        <f aca="false">IF(E86="","Yes",IF($C$2&gt;=E86,"Yes","Not yet"))</f>
        <v>Not yet</v>
      </c>
      <c r="H86" s="24" t="s">
        <v>587</v>
      </c>
      <c r="I86" s="24" t="s">
        <v>37</v>
      </c>
      <c r="J86" s="24" t="s">
        <v>588</v>
      </c>
      <c r="K86" s="26" t="s">
        <v>589</v>
      </c>
      <c r="L86" s="26" t="s">
        <v>27</v>
      </c>
      <c r="M86" s="24"/>
      <c r="N86" s="26"/>
      <c r="O86" s="26" t="s">
        <v>181</v>
      </c>
      <c r="P86" s="24" t="s">
        <v>590</v>
      </c>
    </row>
    <row r="87" customFormat="false" ht="90.25" hidden="false" customHeight="false" outlineLevel="0" collapsed="false">
      <c r="A87" s="24" t="s">
        <v>582</v>
      </c>
      <c r="B87" s="24" t="s">
        <v>591</v>
      </c>
      <c r="C87" s="25" t="s">
        <v>592</v>
      </c>
      <c r="D87" s="24" t="s">
        <v>593</v>
      </c>
      <c r="E87" s="26" t="n">
        <v>54</v>
      </c>
      <c r="F87" s="24" t="s">
        <v>594</v>
      </c>
      <c r="G87" s="26" t="str">
        <f aca="false">IF(E87="","Yes",IF($C$2&gt;=E87,"Yes","Not yet"))</f>
        <v>Not yet</v>
      </c>
      <c r="H87" s="24" t="s">
        <v>595</v>
      </c>
      <c r="I87" s="24" t="s">
        <v>37</v>
      </c>
      <c r="J87" s="24" t="s">
        <v>588</v>
      </c>
      <c r="K87" s="26" t="s">
        <v>589</v>
      </c>
      <c r="L87" s="26" t="s">
        <v>27</v>
      </c>
      <c r="M87" s="24" t="s">
        <v>596</v>
      </c>
      <c r="N87" s="26"/>
      <c r="O87" s="26" t="s">
        <v>181</v>
      </c>
      <c r="P87" s="24" t="s">
        <v>597</v>
      </c>
    </row>
    <row r="88" customFormat="false" ht="90.25" hidden="false" customHeight="false" outlineLevel="0" collapsed="false">
      <c r="A88" s="24" t="s">
        <v>582</v>
      </c>
      <c r="B88" s="24" t="s">
        <v>598</v>
      </c>
      <c r="C88" s="25" t="s">
        <v>599</v>
      </c>
      <c r="D88" s="24" t="s">
        <v>600</v>
      </c>
      <c r="E88" s="26" t="n">
        <v>54</v>
      </c>
      <c r="F88" s="24" t="s">
        <v>594</v>
      </c>
      <c r="G88" s="26" t="str">
        <f aca="false">IF(E88="","Yes",IF($C$2&gt;=E88,"Yes","Not yet"))</f>
        <v>Not yet</v>
      </c>
      <c r="H88" s="24" t="s">
        <v>601</v>
      </c>
      <c r="I88" s="24" t="s">
        <v>37</v>
      </c>
      <c r="J88" s="24" t="s">
        <v>588</v>
      </c>
      <c r="K88" s="26" t="s">
        <v>589</v>
      </c>
      <c r="L88" s="26" t="s">
        <v>72</v>
      </c>
      <c r="M88" s="24" t="s">
        <v>602</v>
      </c>
      <c r="N88" s="26"/>
      <c r="O88" s="26" t="s">
        <v>181</v>
      </c>
      <c r="P88" s="24" t="s">
        <v>597</v>
      </c>
    </row>
    <row r="89" customFormat="false" ht="90.25" hidden="false" customHeight="false" outlineLevel="0" collapsed="false">
      <c r="A89" s="24" t="s">
        <v>582</v>
      </c>
      <c r="B89" s="24" t="s">
        <v>603</v>
      </c>
      <c r="C89" s="25" t="s">
        <v>604</v>
      </c>
      <c r="D89" s="24" t="s">
        <v>605</v>
      </c>
      <c r="E89" s="26" t="n">
        <v>54</v>
      </c>
      <c r="F89" s="24" t="s">
        <v>606</v>
      </c>
      <c r="G89" s="26" t="str">
        <f aca="false">IF(E89="","Yes",IF($C$2&gt;=E89,"Yes","Not yet"))</f>
        <v>Not yet</v>
      </c>
      <c r="H89" s="24" t="s">
        <v>607</v>
      </c>
      <c r="I89" s="24" t="s">
        <v>37</v>
      </c>
      <c r="J89" s="24" t="s">
        <v>588</v>
      </c>
      <c r="K89" s="26" t="s">
        <v>589</v>
      </c>
      <c r="L89" s="26" t="s">
        <v>27</v>
      </c>
      <c r="M89" s="24"/>
      <c r="N89" s="26"/>
      <c r="O89" s="26" t="s">
        <v>181</v>
      </c>
      <c r="P89" s="24" t="s">
        <v>608</v>
      </c>
    </row>
    <row r="90" customFormat="false" ht="90.25" hidden="false" customHeight="false" outlineLevel="0" collapsed="false">
      <c r="A90" s="24" t="s">
        <v>582</v>
      </c>
      <c r="B90" s="24" t="s">
        <v>603</v>
      </c>
      <c r="C90" s="25" t="s">
        <v>609</v>
      </c>
      <c r="D90" s="24" t="s">
        <v>610</v>
      </c>
      <c r="E90" s="26" t="n">
        <v>48</v>
      </c>
      <c r="F90" s="24" t="s">
        <v>611</v>
      </c>
      <c r="G90" s="26" t="str">
        <f aca="false">IF(E90="","Yes",IF($C$2&gt;=E90,"Yes","Not yet"))</f>
        <v>Not yet</v>
      </c>
      <c r="H90" s="24" t="s">
        <v>612</v>
      </c>
      <c r="I90" s="24" t="s">
        <v>37</v>
      </c>
      <c r="J90" s="24" t="s">
        <v>588</v>
      </c>
      <c r="K90" s="26" t="s">
        <v>589</v>
      </c>
      <c r="L90" s="26" t="s">
        <v>27</v>
      </c>
      <c r="M90" s="24" t="s">
        <v>613</v>
      </c>
      <c r="N90" s="26"/>
      <c r="O90" s="26" t="s">
        <v>181</v>
      </c>
      <c r="P90" s="24" t="s">
        <v>597</v>
      </c>
    </row>
    <row r="91" customFormat="false" ht="90.25" hidden="false" customHeight="false" outlineLevel="0" collapsed="false">
      <c r="A91" s="24" t="s">
        <v>582</v>
      </c>
      <c r="B91" s="24" t="s">
        <v>591</v>
      </c>
      <c r="C91" s="25" t="s">
        <v>614</v>
      </c>
      <c r="D91" s="24" t="s">
        <v>615</v>
      </c>
      <c r="E91" s="26" t="n">
        <v>42</v>
      </c>
      <c r="F91" s="24" t="s">
        <v>616</v>
      </c>
      <c r="G91" s="26" t="str">
        <f aca="false">IF(E91="","Yes",IF($C$2&gt;=E91,"Yes","Not yet"))</f>
        <v>Not yet</v>
      </c>
      <c r="H91" s="24" t="s">
        <v>617</v>
      </c>
      <c r="I91" s="24" t="s">
        <v>37</v>
      </c>
      <c r="J91" s="24" t="s">
        <v>588</v>
      </c>
      <c r="K91" s="26" t="s">
        <v>589</v>
      </c>
      <c r="L91" s="26" t="s">
        <v>28</v>
      </c>
      <c r="M91" s="24" t="s">
        <v>618</v>
      </c>
      <c r="N91" s="26"/>
      <c r="O91" s="26" t="s">
        <v>181</v>
      </c>
      <c r="P91" s="24" t="s">
        <v>619</v>
      </c>
    </row>
    <row r="92" customFormat="false" ht="90.25" hidden="false" customHeight="false" outlineLevel="0" collapsed="false">
      <c r="A92" s="24" t="s">
        <v>582</v>
      </c>
      <c r="B92" s="24" t="s">
        <v>620</v>
      </c>
      <c r="C92" s="25" t="s">
        <v>621</v>
      </c>
      <c r="D92" s="24" t="s">
        <v>622</v>
      </c>
      <c r="E92" s="26" t="n">
        <v>42</v>
      </c>
      <c r="F92" s="24" t="s">
        <v>623</v>
      </c>
      <c r="G92" s="26" t="str">
        <f aca="false">IF(E92="","Yes",IF($C$2&gt;=E92,"Yes","Not yet"))</f>
        <v>Not yet</v>
      </c>
      <c r="H92" s="24" t="s">
        <v>624</v>
      </c>
      <c r="I92" s="24" t="s">
        <v>37</v>
      </c>
      <c r="J92" s="24" t="s">
        <v>588</v>
      </c>
      <c r="K92" s="26" t="s">
        <v>589</v>
      </c>
      <c r="L92" s="26" t="s">
        <v>72</v>
      </c>
      <c r="M92" s="24" t="s">
        <v>625</v>
      </c>
      <c r="N92" s="26"/>
      <c r="O92" s="26" t="s">
        <v>181</v>
      </c>
      <c r="P92" s="24" t="s">
        <v>626</v>
      </c>
    </row>
    <row r="93" customFormat="false" ht="90.25" hidden="false" customHeight="false" outlineLevel="0" collapsed="false">
      <c r="A93" s="24" t="s">
        <v>582</v>
      </c>
      <c r="B93" s="24" t="s">
        <v>627</v>
      </c>
      <c r="C93" s="25" t="s">
        <v>628</v>
      </c>
      <c r="D93" s="24" t="s">
        <v>629</v>
      </c>
      <c r="E93" s="26" t="n">
        <v>42</v>
      </c>
      <c r="F93" s="24" t="s">
        <v>630</v>
      </c>
      <c r="G93" s="26" t="str">
        <f aca="false">IF(E93="","Yes",IF($C$2&gt;=E93,"Yes","Not yet"))</f>
        <v>Not yet</v>
      </c>
      <c r="H93" s="24" t="s">
        <v>631</v>
      </c>
      <c r="I93" s="24" t="s">
        <v>632</v>
      </c>
      <c r="J93" s="24" t="s">
        <v>633</v>
      </c>
      <c r="K93" s="26" t="s">
        <v>589</v>
      </c>
      <c r="L93" s="26" t="s">
        <v>27</v>
      </c>
      <c r="M93" s="24" t="s">
        <v>634</v>
      </c>
      <c r="N93" s="26"/>
      <c r="O93" s="26" t="s">
        <v>181</v>
      </c>
      <c r="P93" s="24" t="s">
        <v>635</v>
      </c>
    </row>
    <row r="94" customFormat="false" ht="64.9" hidden="false" customHeight="false" outlineLevel="0" collapsed="false">
      <c r="A94" s="24" t="s">
        <v>582</v>
      </c>
      <c r="B94" s="24" t="s">
        <v>603</v>
      </c>
      <c r="C94" s="25" t="s">
        <v>636</v>
      </c>
      <c r="D94" s="24" t="s">
        <v>637</v>
      </c>
      <c r="E94" s="26" t="n">
        <v>39</v>
      </c>
      <c r="F94" s="24" t="s">
        <v>638</v>
      </c>
      <c r="G94" s="26" t="str">
        <f aca="false">IF(E94="","Yes",IF($C$2&gt;=E94,"Yes","Not yet"))</f>
        <v>Not yet</v>
      </c>
      <c r="H94" s="24" t="s">
        <v>639</v>
      </c>
      <c r="I94" s="24" t="s">
        <v>37</v>
      </c>
      <c r="J94" s="24" t="s">
        <v>640</v>
      </c>
      <c r="K94" s="26" t="s">
        <v>27</v>
      </c>
      <c r="L94" s="26" t="s">
        <v>72</v>
      </c>
      <c r="M94" s="24" t="s">
        <v>641</v>
      </c>
      <c r="N94" s="26"/>
      <c r="O94" s="26" t="s">
        <v>181</v>
      </c>
      <c r="P94" s="24" t="s">
        <v>642</v>
      </c>
    </row>
    <row r="95" customFormat="false" ht="52.2" hidden="false" customHeight="false" outlineLevel="0" collapsed="false">
      <c r="A95" s="24" t="s">
        <v>582</v>
      </c>
      <c r="B95" s="24" t="s">
        <v>643</v>
      </c>
      <c r="C95" s="25" t="s">
        <v>644</v>
      </c>
      <c r="D95" s="24" t="s">
        <v>645</v>
      </c>
      <c r="E95" s="26"/>
      <c r="F95" s="24" t="s">
        <v>646</v>
      </c>
      <c r="G95" s="26" t="str">
        <f aca="false">IF(E95="","Yes",IF($C$2&gt;=E95,"Yes","Not yet"))</f>
        <v>Yes</v>
      </c>
      <c r="H95" s="24" t="s">
        <v>528</v>
      </c>
      <c r="I95" s="24" t="s">
        <v>37</v>
      </c>
      <c r="J95" s="24" t="s">
        <v>647</v>
      </c>
      <c r="K95" s="26" t="s">
        <v>27</v>
      </c>
      <c r="L95" s="26" t="s">
        <v>28</v>
      </c>
      <c r="M95" s="24" t="s">
        <v>648</v>
      </c>
      <c r="N95" s="26"/>
      <c r="O95" s="26" t="s">
        <v>181</v>
      </c>
      <c r="P95" s="24" t="s">
        <v>649</v>
      </c>
    </row>
    <row r="96" customFormat="false" ht="39.55" hidden="false" customHeight="false" outlineLevel="0" collapsed="false">
      <c r="A96" s="24" t="s">
        <v>582</v>
      </c>
      <c r="B96" s="24" t="s">
        <v>583</v>
      </c>
      <c r="C96" s="25" t="s">
        <v>650</v>
      </c>
      <c r="D96" s="24" t="s">
        <v>651</v>
      </c>
      <c r="E96" s="26"/>
      <c r="F96" s="24" t="s">
        <v>652</v>
      </c>
      <c r="G96" s="26" t="str">
        <f aca="false">IF(E96="","Yes",IF($C$2&gt;=E96,"Yes","Not yet"))</f>
        <v>Yes</v>
      </c>
      <c r="H96" s="24" t="s">
        <v>653</v>
      </c>
      <c r="I96" s="24" t="s">
        <v>37</v>
      </c>
      <c r="J96" s="24" t="s">
        <v>647</v>
      </c>
      <c r="K96" s="26" t="s">
        <v>654</v>
      </c>
      <c r="L96" s="26" t="s">
        <v>27</v>
      </c>
      <c r="M96" s="24"/>
      <c r="N96" s="26"/>
      <c r="O96" s="26" t="s">
        <v>181</v>
      </c>
      <c r="P96" s="24" t="s">
        <v>655</v>
      </c>
    </row>
    <row r="97" customFormat="false" ht="52.2" hidden="false" customHeight="false" outlineLevel="0" collapsed="false">
      <c r="A97" s="24" t="s">
        <v>582</v>
      </c>
      <c r="B97" s="24" t="s">
        <v>656</v>
      </c>
      <c r="C97" s="25" t="s">
        <v>657</v>
      </c>
      <c r="D97" s="24" t="s">
        <v>658</v>
      </c>
      <c r="E97" s="26" t="n">
        <v>38</v>
      </c>
      <c r="F97" s="24" t="s">
        <v>659</v>
      </c>
      <c r="G97" s="26" t="str">
        <f aca="false">IF(E97="","Yes",IF($C$2&gt;=E97,"Yes","Not yet"))</f>
        <v>Not yet</v>
      </c>
      <c r="H97" s="24" t="s">
        <v>660</v>
      </c>
      <c r="I97" s="24" t="s">
        <v>661</v>
      </c>
      <c r="J97" s="24" t="s">
        <v>647</v>
      </c>
      <c r="K97" s="26" t="s">
        <v>27</v>
      </c>
      <c r="L97" s="26" t="s">
        <v>28</v>
      </c>
      <c r="M97" s="24" t="s">
        <v>662</v>
      </c>
      <c r="N97" s="26"/>
      <c r="O97" s="26" t="s">
        <v>181</v>
      </c>
      <c r="P97" s="24" t="s">
        <v>663</v>
      </c>
    </row>
    <row r="98" customFormat="false" ht="115.65" hidden="false" customHeight="false" outlineLevel="0" collapsed="false">
      <c r="A98" s="24" t="s">
        <v>582</v>
      </c>
      <c r="B98" s="24" t="s">
        <v>656</v>
      </c>
      <c r="C98" s="25" t="s">
        <v>664</v>
      </c>
      <c r="D98" s="24" t="s">
        <v>665</v>
      </c>
      <c r="E98" s="26" t="n">
        <v>36</v>
      </c>
      <c r="F98" s="24" t="s">
        <v>666</v>
      </c>
      <c r="G98" s="26" t="str">
        <f aca="false">IF(E98="","Yes",IF($C$2&gt;=E98,"Yes","Not yet"))</f>
        <v>Not yet</v>
      </c>
      <c r="H98" s="24" t="s">
        <v>667</v>
      </c>
      <c r="I98" s="24" t="s">
        <v>668</v>
      </c>
      <c r="J98" s="24" t="s">
        <v>647</v>
      </c>
      <c r="K98" s="26" t="s">
        <v>27</v>
      </c>
      <c r="L98" s="26" t="s">
        <v>99</v>
      </c>
      <c r="M98" s="24" t="s">
        <v>669</v>
      </c>
      <c r="N98" s="26"/>
      <c r="O98" s="26" t="s">
        <v>181</v>
      </c>
      <c r="P98" s="24" t="s">
        <v>670</v>
      </c>
    </row>
    <row r="99" customFormat="false" ht="52.2" hidden="false" customHeight="false" outlineLevel="0" collapsed="false">
      <c r="A99" s="24" t="s">
        <v>582</v>
      </c>
      <c r="B99" s="24" t="s">
        <v>656</v>
      </c>
      <c r="C99" s="25" t="s">
        <v>671</v>
      </c>
      <c r="D99" s="24" t="s">
        <v>672</v>
      </c>
      <c r="E99" s="26"/>
      <c r="F99" s="24" t="s">
        <v>673</v>
      </c>
      <c r="G99" s="26" t="str">
        <f aca="false">IF(E99="","Yes",IF($C$2&gt;=E99,"Yes","Not yet"))</f>
        <v>Yes</v>
      </c>
      <c r="H99" s="24" t="s">
        <v>674</v>
      </c>
      <c r="I99" s="24" t="s">
        <v>675</v>
      </c>
      <c r="J99" s="24" t="s">
        <v>647</v>
      </c>
      <c r="K99" s="26" t="s">
        <v>27</v>
      </c>
      <c r="L99" s="26" t="s">
        <v>99</v>
      </c>
      <c r="M99" s="24" t="s">
        <v>676</v>
      </c>
      <c r="N99" s="26"/>
      <c r="O99" s="26" t="s">
        <v>181</v>
      </c>
      <c r="P99" s="24" t="s">
        <v>677</v>
      </c>
    </row>
    <row r="100" customFormat="false" ht="102.95" hidden="false" customHeight="false" outlineLevel="0" collapsed="false">
      <c r="A100" s="24" t="s">
        <v>582</v>
      </c>
      <c r="B100" s="24" t="s">
        <v>656</v>
      </c>
      <c r="C100" s="25" t="s">
        <v>678</v>
      </c>
      <c r="D100" s="24" t="s">
        <v>679</v>
      </c>
      <c r="E100" s="26"/>
      <c r="F100" s="24" t="s">
        <v>680</v>
      </c>
      <c r="G100" s="26" t="str">
        <f aca="false">IF(E100="","Yes",IF($C$2&gt;=E100,"Yes","Not yet"))</f>
        <v>Yes</v>
      </c>
      <c r="H100" s="24" t="s">
        <v>681</v>
      </c>
      <c r="I100" s="24" t="s">
        <v>682</v>
      </c>
      <c r="J100" s="24" t="s">
        <v>647</v>
      </c>
      <c r="K100" s="26" t="s">
        <v>27</v>
      </c>
      <c r="L100" s="26" t="s">
        <v>27</v>
      </c>
      <c r="M100" s="24" t="s">
        <v>683</v>
      </c>
      <c r="N100" s="26"/>
      <c r="O100" s="26" t="s">
        <v>181</v>
      </c>
      <c r="P100" s="24" t="s">
        <v>684</v>
      </c>
    </row>
    <row r="101" customFormat="false" ht="90.25" hidden="false" customHeight="false" outlineLevel="0" collapsed="false">
      <c r="A101" s="24" t="s">
        <v>582</v>
      </c>
      <c r="B101" s="24" t="s">
        <v>656</v>
      </c>
      <c r="C101" s="25" t="s">
        <v>685</v>
      </c>
      <c r="D101" s="24" t="s">
        <v>686</v>
      </c>
      <c r="E101" s="26"/>
      <c r="F101" s="24" t="s">
        <v>673</v>
      </c>
      <c r="G101" s="26" t="str">
        <f aca="false">IF(E101="","Yes",IF($C$2&gt;=E101,"Yes","Not yet"))</f>
        <v>Yes</v>
      </c>
      <c r="H101" s="24" t="s">
        <v>687</v>
      </c>
      <c r="I101" s="24" t="s">
        <v>688</v>
      </c>
      <c r="J101" s="24" t="s">
        <v>647</v>
      </c>
      <c r="K101" s="26" t="s">
        <v>27</v>
      </c>
      <c r="L101" s="26" t="s">
        <v>27</v>
      </c>
      <c r="M101" s="24" t="s">
        <v>689</v>
      </c>
      <c r="N101" s="26"/>
      <c r="O101" s="26" t="s">
        <v>181</v>
      </c>
      <c r="P101" s="24" t="s">
        <v>677</v>
      </c>
    </row>
    <row r="102" customFormat="false" ht="77.6" hidden="false" customHeight="false" outlineLevel="0" collapsed="false">
      <c r="A102" s="24" t="s">
        <v>582</v>
      </c>
      <c r="B102" s="24" t="s">
        <v>656</v>
      </c>
      <c r="C102" s="25" t="s">
        <v>690</v>
      </c>
      <c r="D102" s="24" t="s">
        <v>160</v>
      </c>
      <c r="E102" s="26"/>
      <c r="F102" s="24" t="s">
        <v>691</v>
      </c>
      <c r="G102" s="26" t="str">
        <f aca="false">IF(E102="","Yes",IF($C$2&gt;=E102,"Yes","Not yet"))</f>
        <v>Yes</v>
      </c>
      <c r="H102" s="24" t="s">
        <v>692</v>
      </c>
      <c r="I102" s="24" t="s">
        <v>693</v>
      </c>
      <c r="J102" s="24" t="s">
        <v>647</v>
      </c>
      <c r="K102" s="26" t="s">
        <v>27</v>
      </c>
      <c r="L102" s="26" t="s">
        <v>28</v>
      </c>
      <c r="M102" s="24" t="s">
        <v>694</v>
      </c>
      <c r="N102" s="26"/>
      <c r="O102" s="26" t="s">
        <v>181</v>
      </c>
      <c r="P102" s="24" t="s">
        <v>677</v>
      </c>
    </row>
    <row r="104" customFormat="false" ht="15" hidden="false" customHeight="false" outlineLevel="0" collapsed="false">
      <c r="A104" s="27" t="s">
        <v>695</v>
      </c>
    </row>
    <row r="105" customFormat="false" ht="15" hidden="false" customHeight="false" outlineLevel="0" collapsed="false">
      <c r="A105" s="28" t="s">
        <v>19</v>
      </c>
      <c r="B105" s="28" t="str">
        <f aca="false">COUNTIFS($A$5:$A$102,A105,$G$5:$G$102,"Yes")&amp;" of "&amp;COUNTIF($A$5:$A$102,A105)</f>
        <v>18 of 23</v>
      </c>
    </row>
    <row r="106" customFormat="false" ht="15" hidden="false" customHeight="false" outlineLevel="0" collapsed="false">
      <c r="A106" s="28" t="s">
        <v>183</v>
      </c>
      <c r="B106" s="28" t="str">
        <f aca="false">COUNTIFS($A$5:$A$102,A106,$G$5:$G$102,"Yes")&amp;" of "&amp;COUNTIF($A$5:$A$102,A106)</f>
        <v>7 of 11</v>
      </c>
    </row>
    <row r="107" customFormat="false" ht="15" hidden="false" customHeight="false" outlineLevel="0" collapsed="false">
      <c r="A107" s="28" t="s">
        <v>252</v>
      </c>
      <c r="B107" s="28" t="str">
        <f aca="false">COUNTIFS($A$5:$A$102,A107,$G$5:$G$102,"Yes")&amp;" of "&amp;COUNTIF($A$5:$A$102,A107)</f>
        <v>3 of 6</v>
      </c>
    </row>
    <row r="108" customFormat="false" ht="15" hidden="false" customHeight="false" outlineLevel="0" collapsed="false">
      <c r="A108" s="28" t="s">
        <v>289</v>
      </c>
      <c r="B108" s="28" t="str">
        <f aca="false">COUNTIFS($A$5:$A$102,A108,$G$5:$G$102,"Yes")&amp;" of "&amp;COUNTIF($A$5:$A$102,A108)</f>
        <v>4 of 12</v>
      </c>
    </row>
    <row r="109" customFormat="false" ht="15" hidden="false" customHeight="false" outlineLevel="0" collapsed="false">
      <c r="A109" s="28" t="s">
        <v>392</v>
      </c>
      <c r="B109" s="28" t="str">
        <f aca="false">COUNTIFS($A$5:$A$102,A109,$G$5:$G$102,"Yes")&amp;" of "&amp;COUNTIF($A$5:$A$102,A109)</f>
        <v>4 of 18</v>
      </c>
    </row>
    <row r="110" customFormat="false" ht="15" hidden="false" customHeight="false" outlineLevel="0" collapsed="false">
      <c r="A110" s="28" t="s">
        <v>508</v>
      </c>
      <c r="B110" s="28" t="str">
        <f aca="false">COUNTIFS($A$5:$A$102,A110,$G$5:$G$102,"Yes")&amp;" of "&amp;COUNTIF($A$5:$A$102,A110)</f>
        <v>3 of 11</v>
      </c>
    </row>
    <row r="111" customFormat="false" ht="15" hidden="false" customHeight="false" outlineLevel="0" collapsed="false">
      <c r="A111" s="28" t="s">
        <v>582</v>
      </c>
      <c r="B111" s="28" t="str">
        <f aca="false">COUNTIFS($A$5:$A$102,A111,$G$5:$G$102,"Yes")&amp;" of "&amp;COUNTIF($A$5:$A$102,A111)</f>
        <v>6 of 17</v>
      </c>
    </row>
  </sheetData>
  <autoFilter ref="A4:P102"/>
  <mergeCells count="1">
    <mergeCell ref="A2:B2"/>
  </mergeCells>
  <conditionalFormatting sqref="G5:G102">
    <cfRule type="expression" priority="2" aboveAverage="0" equalAverage="0" bottom="0" percent="0" rank="0" text="" dxfId="16">
      <formula>G5="Yes"</formula>
    </cfRule>
    <cfRule type="expression" priority="3" aboveAverage="0" equalAverage="0" bottom="0" percent="0" rank="0" text="" dxfId="17">
      <formula>G5="Not yet"</formula>
    </cfRule>
  </conditionalFormatting>
  <conditionalFormatting sqref="L5:L102">
    <cfRule type="expression" priority="4" aboveAverage="0" equalAverage="0" bottom="0" percent="0" rank="0" text="" dxfId="18">
      <formula>L5="Yes"</formula>
    </cfRule>
  </conditionalFormatting>
  <conditionalFormatting sqref="C5:C102">
    <cfRule type="expression" priority="5" aboveAverage="0" equalAverage="0" bottom="0" percent="0" rank="0" text="" dxfId="19">
      <formula>EXACT(LEFT(P5,6),"CLOSED")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4"/>
    <col collapsed="false" customWidth="true" hidden="false" outlineLevel="0" max="3" min="3" style="0" width="36"/>
    <col collapsed="false" customWidth="true" hidden="false" outlineLevel="0" max="4" min="4" style="0" width="16"/>
    <col collapsed="false" customWidth="true" hidden="false" outlineLevel="0" max="5" min="5" style="0" width="12"/>
    <col collapsed="false" customWidth="true" hidden="false" outlineLevel="0" max="6" min="6" style="0" width="56"/>
  </cols>
  <sheetData>
    <row r="1" customFormat="false" ht="15" hidden="false" customHeight="false" outlineLevel="0" collapsed="false">
      <c r="A1" s="29" t="s">
        <v>696</v>
      </c>
    </row>
    <row r="2" customFormat="false" ht="15" hidden="false" customHeight="false" outlineLevel="0" collapsed="false">
      <c r="A2" s="4" t="s">
        <v>697</v>
      </c>
    </row>
    <row r="4" customFormat="false" ht="26.85" hidden="false" customHeight="false" outlineLevel="0" collapsed="false">
      <c r="A4" s="30" t="s">
        <v>698</v>
      </c>
      <c r="B4" s="30" t="s">
        <v>699</v>
      </c>
      <c r="C4" s="30" t="s">
        <v>700</v>
      </c>
      <c r="D4" s="30" t="s">
        <v>3</v>
      </c>
      <c r="E4" s="30" t="s">
        <v>9</v>
      </c>
      <c r="F4" s="30" t="s">
        <v>701</v>
      </c>
    </row>
    <row r="5" customFormat="false" ht="26.85" hidden="false" customHeight="false" outlineLevel="0" collapsed="false">
      <c r="A5" s="7" t="s">
        <v>702</v>
      </c>
      <c r="B5" s="8" t="s">
        <v>703</v>
      </c>
      <c r="C5" s="6" t="s">
        <v>153</v>
      </c>
      <c r="D5" s="6" t="s">
        <v>19</v>
      </c>
      <c r="E5" s="8" t="str">
        <f aca="false">IFERROR(INDEX(Rides!$G$5:$G$102,MATCH(SUBSTITUTE(C5,"~","~~"),Rides!$C$5:$C$102,0)),"?")</f>
        <v>Yes</v>
      </c>
      <c r="F5" s="6" t="s">
        <v>704</v>
      </c>
    </row>
    <row r="6" customFormat="false" ht="26.85" hidden="false" customHeight="false" outlineLevel="0" collapsed="false">
      <c r="A6" s="7" t="s">
        <v>705</v>
      </c>
      <c r="B6" s="8" t="s">
        <v>703</v>
      </c>
      <c r="C6" s="6" t="s">
        <v>51</v>
      </c>
      <c r="D6" s="6" t="s">
        <v>19</v>
      </c>
      <c r="E6" s="8" t="str">
        <f aca="false">IFERROR(INDEX(Rides!$G$5:$G$102,MATCH(SUBSTITUTE(C6,"~","~~"),Rides!$C$5:$C$102,0)),"?")</f>
        <v>Yes</v>
      </c>
      <c r="F6" s="6" t="s">
        <v>706</v>
      </c>
    </row>
    <row r="7" customFormat="false" ht="26.85" hidden="false" customHeight="false" outlineLevel="0" collapsed="false">
      <c r="A7" s="7" t="s">
        <v>707</v>
      </c>
      <c r="B7" s="8" t="s">
        <v>703</v>
      </c>
      <c r="C7" s="6" t="s">
        <v>122</v>
      </c>
      <c r="D7" s="6" t="s">
        <v>19</v>
      </c>
      <c r="E7" s="8" t="str">
        <f aca="false">IFERROR(INDEX(Rides!$G$5:$G$102,MATCH(SUBSTITUTE(C7,"~","~~"),Rides!$C$5:$C$102,0)),"?")</f>
        <v>Yes</v>
      </c>
      <c r="F7" s="6" t="s">
        <v>708</v>
      </c>
    </row>
    <row r="8" customFormat="false" ht="15" hidden="false" customHeight="false" outlineLevel="0" collapsed="false">
      <c r="A8" s="7" t="s">
        <v>709</v>
      </c>
      <c r="B8" s="8" t="s">
        <v>703</v>
      </c>
      <c r="C8" s="6" t="s">
        <v>133</v>
      </c>
      <c r="D8" s="6" t="s">
        <v>19</v>
      </c>
      <c r="E8" s="8" t="str">
        <f aca="false">IFERROR(INDEX(Rides!$G$5:$G$102,MATCH(SUBSTITUTE(C8,"~","~~"),Rides!$C$5:$C$102,0)),"?")</f>
        <v>Yes</v>
      </c>
      <c r="F8" s="6" t="s">
        <v>710</v>
      </c>
    </row>
    <row r="9" customFormat="false" ht="26.85" hidden="false" customHeight="false" outlineLevel="0" collapsed="false">
      <c r="A9" s="7" t="s">
        <v>711</v>
      </c>
      <c r="B9" s="8" t="s">
        <v>703</v>
      </c>
      <c r="C9" s="6" t="s">
        <v>139</v>
      </c>
      <c r="D9" s="6" t="s">
        <v>19</v>
      </c>
      <c r="E9" s="8" t="str">
        <f aca="false">IFERROR(INDEX(Rides!$G$5:$G$102,MATCH(SUBSTITUTE(C9,"~","~~"),Rides!$C$5:$C$102,0)),"?")</f>
        <v>Yes</v>
      </c>
      <c r="F9" s="6" t="s">
        <v>712</v>
      </c>
    </row>
    <row r="10" customFormat="false" ht="15" hidden="false" customHeight="false" outlineLevel="0" collapsed="false">
      <c r="A10" s="7" t="s">
        <v>713</v>
      </c>
      <c r="B10" s="8" t="s">
        <v>703</v>
      </c>
      <c r="C10" s="6" t="s">
        <v>81</v>
      </c>
      <c r="D10" s="6" t="s">
        <v>19</v>
      </c>
      <c r="E10" s="8" t="str">
        <f aca="false">IFERROR(INDEX(Rides!$G$5:$G$102,MATCH(SUBSTITUTE(C10,"~","~~"),Rides!$C$5:$C$102,0)),"?")</f>
        <v>Yes</v>
      </c>
      <c r="F10" s="6" t="s">
        <v>714</v>
      </c>
    </row>
    <row r="11" customFormat="false" ht="15" hidden="false" customHeight="false" outlineLevel="0" collapsed="false">
      <c r="A11" s="7" t="s">
        <v>715</v>
      </c>
      <c r="B11" s="8" t="s">
        <v>703</v>
      </c>
      <c r="C11" s="6" t="s">
        <v>165</v>
      </c>
      <c r="D11" s="6" t="s">
        <v>19</v>
      </c>
      <c r="E11" s="8" t="str">
        <f aca="false">IFERROR(INDEX(Rides!$G$5:$G$102,MATCH(SUBSTITUTE(C11,"~","~~"),Rides!$C$5:$C$102,0)),"?")</f>
        <v>Yes</v>
      </c>
      <c r="F11" s="6" t="s">
        <v>716</v>
      </c>
    </row>
    <row r="12" customFormat="false" ht="15" hidden="false" customHeight="false" outlineLevel="0" collapsed="false">
      <c r="A12" s="7" t="s">
        <v>717</v>
      </c>
      <c r="B12" s="8" t="s">
        <v>703</v>
      </c>
      <c r="C12" s="6" t="s">
        <v>159</v>
      </c>
      <c r="D12" s="6" t="s">
        <v>19</v>
      </c>
      <c r="E12" s="8" t="str">
        <f aca="false">IFERROR(INDEX(Rides!$G$5:$G$102,MATCH(SUBSTITUTE(C12,"~","~~"),Rides!$C$5:$C$102,0)),"?")</f>
        <v>Yes</v>
      </c>
      <c r="F12" s="6" t="s">
        <v>718</v>
      </c>
    </row>
    <row r="13" customFormat="false" ht="26.85" hidden="false" customHeight="false" outlineLevel="0" collapsed="false">
      <c r="A13" s="7" t="s">
        <v>719</v>
      </c>
      <c r="B13" s="8" t="s">
        <v>720</v>
      </c>
      <c r="C13" s="6" t="s">
        <v>145</v>
      </c>
      <c r="D13" s="6" t="s">
        <v>19</v>
      </c>
      <c r="E13" s="8" t="str">
        <f aca="false">IFERROR(INDEX(Rides!$G$5:$G$102,MATCH(SUBSTITUTE(C13,"~","~~"),Rides!$C$5:$C$102,0)),"?")</f>
        <v>Yes</v>
      </c>
      <c r="F13" s="6" t="s">
        <v>721</v>
      </c>
    </row>
    <row r="14" customFormat="false" ht="15" hidden="false" customHeight="false" outlineLevel="0" collapsed="false">
      <c r="A14" s="10" t="s">
        <v>722</v>
      </c>
      <c r="B14" s="11" t="s">
        <v>703</v>
      </c>
      <c r="C14" s="9" t="s">
        <v>246</v>
      </c>
      <c r="D14" s="9" t="s">
        <v>183</v>
      </c>
      <c r="E14" s="11" t="str">
        <f aca="false">IFERROR(INDEX(Rides!$G$5:$G$102,MATCH(SUBSTITUTE(C14,"~","~~"),Rides!$C$5:$C$102,0)),"?")</f>
        <v>Yes</v>
      </c>
      <c r="F14" s="9" t="s">
        <v>723</v>
      </c>
    </row>
    <row r="15" customFormat="false" ht="15" hidden="false" customHeight="false" outlineLevel="0" collapsed="false">
      <c r="A15" s="10" t="s">
        <v>724</v>
      </c>
      <c r="B15" s="11" t="s">
        <v>703</v>
      </c>
      <c r="C15" s="9" t="s">
        <v>224</v>
      </c>
      <c r="D15" s="9" t="s">
        <v>183</v>
      </c>
      <c r="E15" s="11" t="str">
        <f aca="false">IFERROR(INDEX(Rides!$G$5:$G$102,MATCH(SUBSTITUTE(C15,"~","~~"),Rides!$C$5:$C$102,0)),"?")</f>
        <v>Yes</v>
      </c>
      <c r="F15" s="9" t="s">
        <v>725</v>
      </c>
    </row>
    <row r="16" customFormat="false" ht="26.85" hidden="false" customHeight="false" outlineLevel="0" collapsed="false">
      <c r="A16" s="10" t="s">
        <v>726</v>
      </c>
      <c r="B16" s="11" t="s">
        <v>727</v>
      </c>
      <c r="C16" s="9" t="s">
        <v>216</v>
      </c>
      <c r="D16" s="9" t="s">
        <v>183</v>
      </c>
      <c r="E16" s="11" t="str">
        <f aca="false">IFERROR(INDEX(Rides!$G$5:$G$102,MATCH(SUBSTITUTE(C16,"~","~~"),Rides!$C$5:$C$102,0)),"?")</f>
        <v>Yes</v>
      </c>
      <c r="F16" s="9" t="s">
        <v>728</v>
      </c>
    </row>
    <row r="17" customFormat="false" ht="26.85" hidden="false" customHeight="false" outlineLevel="0" collapsed="false">
      <c r="A17" s="10" t="s">
        <v>729</v>
      </c>
      <c r="B17" s="11" t="s">
        <v>730</v>
      </c>
      <c r="C17" s="9" t="s">
        <v>232</v>
      </c>
      <c r="D17" s="9" t="s">
        <v>183</v>
      </c>
      <c r="E17" s="11" t="str">
        <f aca="false">IFERROR(INDEX(Rides!$G$5:$G$102,MATCH(SUBSTITUTE(C17,"~","~~"),Rides!$C$5:$C$102,0)),"?")</f>
        <v>Yes</v>
      </c>
      <c r="F17" s="9" t="s">
        <v>731</v>
      </c>
    </row>
    <row r="18" customFormat="false" ht="15" hidden="false" customHeight="false" outlineLevel="0" collapsed="false">
      <c r="A18" s="13" t="s">
        <v>732</v>
      </c>
      <c r="B18" s="14" t="s">
        <v>733</v>
      </c>
      <c r="C18" s="12" t="s">
        <v>283</v>
      </c>
      <c r="D18" s="12" t="s">
        <v>252</v>
      </c>
      <c r="E18" s="14" t="str">
        <f aca="false">IFERROR(INDEX(Rides!$G$5:$G$102,MATCH(SUBSTITUTE(C18,"~","~~"),Rides!$C$5:$C$102,0)),"?")</f>
        <v>Yes</v>
      </c>
      <c r="F18" s="12" t="s">
        <v>734</v>
      </c>
    </row>
    <row r="19" customFormat="false" ht="26.85" hidden="false" customHeight="false" outlineLevel="0" collapsed="false">
      <c r="A19" s="16" t="s">
        <v>735</v>
      </c>
      <c r="B19" s="17" t="s">
        <v>727</v>
      </c>
      <c r="C19" s="15" t="s">
        <v>377</v>
      </c>
      <c r="D19" s="15" t="s">
        <v>289</v>
      </c>
      <c r="E19" s="17" t="str">
        <f aca="false">IFERROR(INDEX(Rides!$G$5:$G$102,MATCH(SUBSTITUTE(C19,"~","~~"),Rides!$C$5:$C$102,0)),"?")</f>
        <v>Yes</v>
      </c>
      <c r="F19" s="15" t="s">
        <v>736</v>
      </c>
    </row>
    <row r="20" customFormat="false" ht="26.85" hidden="false" customHeight="false" outlineLevel="0" collapsed="false">
      <c r="A20" s="16" t="s">
        <v>737</v>
      </c>
      <c r="B20" s="17" t="s">
        <v>727</v>
      </c>
      <c r="C20" s="15" t="s">
        <v>301</v>
      </c>
      <c r="D20" s="15" t="s">
        <v>289</v>
      </c>
      <c r="E20" s="17" t="str">
        <f aca="false">IFERROR(INDEX(Rides!$G$5:$G$102,MATCH(SUBSTITUTE(C20,"~","~~"),Rides!$C$5:$C$102,0)),"?")</f>
        <v>Yes</v>
      </c>
      <c r="F20" s="15" t="s">
        <v>738</v>
      </c>
    </row>
    <row r="21" customFormat="false" ht="26.85" hidden="false" customHeight="false" outlineLevel="0" collapsed="false">
      <c r="A21" s="19" t="s">
        <v>739</v>
      </c>
      <c r="B21" s="20" t="s">
        <v>740</v>
      </c>
      <c r="C21" s="18" t="s">
        <v>486</v>
      </c>
      <c r="D21" s="18" t="s">
        <v>392</v>
      </c>
      <c r="E21" s="20" t="str">
        <f aca="false">IFERROR(INDEX(Rides!$G$5:$G$102,MATCH(SUBSTITUTE(C21,"~","~~"),Rides!$C$5:$C$102,0)),"?")</f>
        <v>Not yet</v>
      </c>
      <c r="F21" s="18" t="s">
        <v>741</v>
      </c>
    </row>
    <row r="22" customFormat="false" ht="26.85" hidden="false" customHeight="false" outlineLevel="0" collapsed="false">
      <c r="A22" s="19" t="s">
        <v>742</v>
      </c>
      <c r="B22" s="20" t="s">
        <v>740</v>
      </c>
      <c r="C22" s="18" t="s">
        <v>491</v>
      </c>
      <c r="D22" s="18" t="s">
        <v>392</v>
      </c>
      <c r="E22" s="20" t="str">
        <f aca="false">IFERROR(INDEX(Rides!$G$5:$G$102,MATCH(SUBSTITUTE(C22,"~","~~"),Rides!$C$5:$C$102,0)),"?")</f>
        <v>Yes</v>
      </c>
      <c r="F22" s="18" t="s">
        <v>743</v>
      </c>
    </row>
    <row r="23" customFormat="false" ht="26.85" hidden="false" customHeight="false" outlineLevel="0" collapsed="false">
      <c r="A23" s="19" t="s">
        <v>744</v>
      </c>
      <c r="B23" s="20" t="s">
        <v>740</v>
      </c>
      <c r="C23" s="18" t="s">
        <v>497</v>
      </c>
      <c r="D23" s="18" t="s">
        <v>392</v>
      </c>
      <c r="E23" s="20" t="str">
        <f aca="false">IFERROR(INDEX(Rides!$G$5:$G$102,MATCH(SUBSTITUTE(C23,"~","~~"),Rides!$C$5:$C$102,0)),"?")</f>
        <v>Yes</v>
      </c>
      <c r="F23" s="18" t="s">
        <v>745</v>
      </c>
    </row>
    <row r="24" customFormat="false" ht="26.85" hidden="false" customHeight="false" outlineLevel="0" collapsed="false">
      <c r="A24" s="22" t="s">
        <v>746</v>
      </c>
      <c r="B24" s="23" t="s">
        <v>727</v>
      </c>
      <c r="C24" s="21" t="s">
        <v>563</v>
      </c>
      <c r="D24" s="21" t="s">
        <v>508</v>
      </c>
      <c r="E24" s="23" t="str">
        <f aca="false">IFERROR(INDEX(Rides!$G$5:$G$102,MATCH(SUBSTITUTE(C24,"~","~~"),Rides!$C$5:$C$102,0)),"?")</f>
        <v>Yes</v>
      </c>
      <c r="F24" s="21" t="s">
        <v>747</v>
      </c>
    </row>
    <row r="25" customFormat="false" ht="26.85" hidden="false" customHeight="false" outlineLevel="0" collapsed="false">
      <c r="A25" s="22" t="s">
        <v>748</v>
      </c>
      <c r="B25" s="23" t="s">
        <v>727</v>
      </c>
      <c r="C25" s="21" t="s">
        <v>576</v>
      </c>
      <c r="D25" s="21" t="s">
        <v>508</v>
      </c>
      <c r="E25" s="23" t="str">
        <f aca="false">IFERROR(INDEX(Rides!$G$5:$G$102,MATCH(SUBSTITUTE(C25,"~","~~"),Rides!$C$5:$C$102,0)),"?")</f>
        <v>Yes</v>
      </c>
      <c r="F25" s="21" t="s">
        <v>749</v>
      </c>
    </row>
    <row r="26" customFormat="false" ht="26.85" hidden="false" customHeight="false" outlineLevel="0" collapsed="false">
      <c r="A26" s="25" t="s">
        <v>750</v>
      </c>
      <c r="B26" s="26" t="s">
        <v>733</v>
      </c>
      <c r="C26" s="24" t="s">
        <v>690</v>
      </c>
      <c r="D26" s="24" t="s">
        <v>582</v>
      </c>
      <c r="E26" s="26" t="str">
        <f aca="false">IFERROR(INDEX(Rides!$G$5:$G$102,MATCH(SUBSTITUTE(C26,"~","~~"),Rides!$C$5:$C$102,0)),"?")</f>
        <v>Yes</v>
      </c>
      <c r="F26" s="24" t="s">
        <v>751</v>
      </c>
    </row>
  </sheetData>
  <conditionalFormatting sqref="E5:E26">
    <cfRule type="expression" priority="2" aboveAverage="0" equalAverage="0" bottom="0" percent="0" rank="0" text="" dxfId="16">
      <formula>E5="Yes"</formula>
    </cfRule>
    <cfRule type="expression" priority="3" aboveAverage="0" equalAverage="0" bottom="0" percent="0" rank="0" text="" dxfId="17">
      <formula>E5="Not yet"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8"/>
    <col collapsed="false" customWidth="true" hidden="false" outlineLevel="0" max="3" min="3" style="0" width="32"/>
    <col collapsed="false" customWidth="true" hidden="false" outlineLevel="0" max="4" min="4" style="0" width="22"/>
  </cols>
  <sheetData>
    <row r="1" customFormat="false" ht="15" hidden="false" customHeight="false" outlineLevel="0" collapsed="false">
      <c r="A1" s="29" t="s">
        <v>752</v>
      </c>
    </row>
    <row r="3" customFormat="false" ht="31.5" hidden="false" customHeight="true" outlineLevel="0" collapsed="false">
      <c r="A3" s="30" t="s">
        <v>3</v>
      </c>
      <c r="B3" s="30" t="s">
        <v>753</v>
      </c>
      <c r="C3" s="30" t="s">
        <v>754</v>
      </c>
      <c r="D3" s="30" t="s">
        <v>17</v>
      </c>
    </row>
    <row r="4" customFormat="false" ht="15" hidden="false" customHeight="false" outlineLevel="0" collapsed="false">
      <c r="A4" s="31" t="s">
        <v>19</v>
      </c>
      <c r="B4" s="31" t="s">
        <v>755</v>
      </c>
      <c r="C4" s="31" t="s">
        <v>756</v>
      </c>
      <c r="D4" s="31" t="s">
        <v>757</v>
      </c>
    </row>
    <row r="5" customFormat="false" ht="15" hidden="false" customHeight="false" outlineLevel="0" collapsed="false">
      <c r="A5" s="31" t="s">
        <v>19</v>
      </c>
      <c r="B5" s="31" t="s">
        <v>758</v>
      </c>
      <c r="C5" s="31" t="s">
        <v>756</v>
      </c>
      <c r="D5" s="31" t="s">
        <v>759</v>
      </c>
    </row>
    <row r="6" customFormat="false" ht="15" hidden="false" customHeight="false" outlineLevel="0" collapsed="false">
      <c r="A6" s="31" t="s">
        <v>19</v>
      </c>
      <c r="B6" s="31" t="s">
        <v>760</v>
      </c>
      <c r="C6" s="31" t="s">
        <v>761</v>
      </c>
      <c r="D6" s="31" t="s">
        <v>762</v>
      </c>
    </row>
    <row r="7" customFormat="false" ht="15" hidden="false" customHeight="false" outlineLevel="0" collapsed="false">
      <c r="A7" s="31" t="s">
        <v>19</v>
      </c>
      <c r="B7" s="31" t="s">
        <v>763</v>
      </c>
      <c r="C7" s="31" t="s">
        <v>764</v>
      </c>
      <c r="D7" s="31" t="s">
        <v>765</v>
      </c>
    </row>
    <row r="8" customFormat="false" ht="15" hidden="false" customHeight="false" outlineLevel="0" collapsed="false">
      <c r="A8" s="31" t="s">
        <v>19</v>
      </c>
      <c r="B8" s="31" t="s">
        <v>766</v>
      </c>
      <c r="C8" s="31" t="s">
        <v>767</v>
      </c>
      <c r="D8" s="31" t="s">
        <v>768</v>
      </c>
    </row>
    <row r="9" customFormat="false" ht="15" hidden="false" customHeight="false" outlineLevel="0" collapsed="false">
      <c r="A9" s="31" t="s">
        <v>19</v>
      </c>
      <c r="B9" s="31" t="s">
        <v>769</v>
      </c>
      <c r="C9" s="31" t="s">
        <v>770</v>
      </c>
      <c r="D9" s="31" t="s">
        <v>771</v>
      </c>
    </row>
    <row r="10" customFormat="false" ht="15" hidden="false" customHeight="false" outlineLevel="0" collapsed="false">
      <c r="A10" s="31" t="s">
        <v>19</v>
      </c>
      <c r="B10" s="31" t="s">
        <v>772</v>
      </c>
      <c r="C10" s="31" t="s">
        <v>756</v>
      </c>
      <c r="D10" s="31" t="s">
        <v>773</v>
      </c>
    </row>
    <row r="11" customFormat="false" ht="15" hidden="false" customHeight="false" outlineLevel="0" collapsed="false">
      <c r="A11" s="31" t="s">
        <v>19</v>
      </c>
      <c r="B11" s="31" t="s">
        <v>774</v>
      </c>
      <c r="C11" s="31" t="s">
        <v>775</v>
      </c>
      <c r="D11" s="31" t="s">
        <v>776</v>
      </c>
    </row>
    <row r="12" customFormat="false" ht="15" hidden="false" customHeight="false" outlineLevel="0" collapsed="false">
      <c r="A12" s="32" t="s">
        <v>183</v>
      </c>
      <c r="B12" s="32" t="s">
        <v>777</v>
      </c>
      <c r="C12" s="32" t="s">
        <v>778</v>
      </c>
      <c r="D12" s="32" t="s">
        <v>779</v>
      </c>
    </row>
    <row r="13" customFormat="false" ht="15" hidden="false" customHeight="false" outlineLevel="0" collapsed="false">
      <c r="A13" s="32" t="s">
        <v>183</v>
      </c>
      <c r="B13" s="32" t="s">
        <v>780</v>
      </c>
      <c r="C13" s="32" t="s">
        <v>781</v>
      </c>
      <c r="D13" s="32" t="s">
        <v>782</v>
      </c>
    </row>
    <row r="14" customFormat="false" ht="15" hidden="false" customHeight="false" outlineLevel="0" collapsed="false">
      <c r="A14" s="32" t="s">
        <v>183</v>
      </c>
      <c r="B14" s="32" t="s">
        <v>783</v>
      </c>
      <c r="C14" s="32" t="s">
        <v>784</v>
      </c>
      <c r="D14" s="32" t="s">
        <v>785</v>
      </c>
    </row>
    <row r="15" customFormat="false" ht="15" hidden="false" customHeight="false" outlineLevel="0" collapsed="false">
      <c r="A15" s="32" t="s">
        <v>183</v>
      </c>
      <c r="B15" s="32" t="s">
        <v>786</v>
      </c>
      <c r="C15" s="32" t="s">
        <v>787</v>
      </c>
      <c r="D15" s="32" t="s">
        <v>788</v>
      </c>
    </row>
    <row r="16" customFormat="false" ht="15" hidden="false" customHeight="false" outlineLevel="0" collapsed="false">
      <c r="A16" s="32" t="s">
        <v>183</v>
      </c>
      <c r="B16" s="32" t="s">
        <v>789</v>
      </c>
      <c r="C16" s="32" t="s">
        <v>787</v>
      </c>
      <c r="D16" s="32" t="s">
        <v>790</v>
      </c>
    </row>
    <row r="17" customFormat="false" ht="15" hidden="false" customHeight="false" outlineLevel="0" collapsed="false">
      <c r="A17" s="32" t="s">
        <v>183</v>
      </c>
      <c r="B17" s="32" t="s">
        <v>791</v>
      </c>
      <c r="C17" s="32" t="s">
        <v>792</v>
      </c>
      <c r="D17" s="32" t="s">
        <v>793</v>
      </c>
    </row>
    <row r="18" customFormat="false" ht="15" hidden="false" customHeight="false" outlineLevel="0" collapsed="false">
      <c r="A18" s="32" t="s">
        <v>183</v>
      </c>
      <c r="B18" s="32" t="s">
        <v>794</v>
      </c>
      <c r="C18" s="32" t="s">
        <v>795</v>
      </c>
      <c r="D18" s="32" t="s">
        <v>796</v>
      </c>
    </row>
    <row r="19" customFormat="false" ht="15" hidden="false" customHeight="false" outlineLevel="0" collapsed="false">
      <c r="A19" s="32" t="s">
        <v>183</v>
      </c>
      <c r="B19" s="32" t="s">
        <v>797</v>
      </c>
      <c r="C19" s="32" t="s">
        <v>764</v>
      </c>
      <c r="D19" s="32" t="s">
        <v>798</v>
      </c>
    </row>
    <row r="20" customFormat="false" ht="15" hidden="false" customHeight="false" outlineLevel="0" collapsed="false">
      <c r="A20" s="32" t="s">
        <v>183</v>
      </c>
      <c r="B20" s="32" t="s">
        <v>799</v>
      </c>
      <c r="C20" s="32" t="s">
        <v>800</v>
      </c>
      <c r="D20" s="32" t="s">
        <v>801</v>
      </c>
    </row>
    <row r="21" customFormat="false" ht="15" hidden="false" customHeight="false" outlineLevel="0" collapsed="false">
      <c r="A21" s="33" t="s">
        <v>252</v>
      </c>
      <c r="B21" s="33" t="s">
        <v>802</v>
      </c>
      <c r="C21" s="33" t="s">
        <v>803</v>
      </c>
      <c r="D21" s="33" t="s">
        <v>804</v>
      </c>
    </row>
    <row r="22" customFormat="false" ht="15" hidden="false" customHeight="false" outlineLevel="0" collapsed="false">
      <c r="A22" s="33" t="s">
        <v>252</v>
      </c>
      <c r="B22" s="33" t="s">
        <v>805</v>
      </c>
      <c r="C22" s="33" t="s">
        <v>806</v>
      </c>
      <c r="D22" s="33" t="s">
        <v>807</v>
      </c>
    </row>
    <row r="23" customFormat="false" ht="15" hidden="false" customHeight="false" outlineLevel="0" collapsed="false">
      <c r="A23" s="33" t="s">
        <v>252</v>
      </c>
      <c r="B23" s="33" t="s">
        <v>808</v>
      </c>
      <c r="C23" s="33" t="s">
        <v>809</v>
      </c>
      <c r="D23" s="33" t="s">
        <v>810</v>
      </c>
    </row>
    <row r="25" customFormat="false" ht="15" hidden="false" customHeight="false" outlineLevel="0" collapsed="false">
      <c r="A25" s="27" t="s">
        <v>811</v>
      </c>
    </row>
    <row r="26" customFormat="false" ht="75" hidden="false" customHeight="true" outlineLevel="0" collapsed="false">
      <c r="A26" s="34" t="s">
        <v>19</v>
      </c>
      <c r="B26" s="35" t="s">
        <v>812</v>
      </c>
      <c r="C26" s="35"/>
      <c r="D26" s="35"/>
    </row>
    <row r="27" customFormat="false" ht="30" hidden="false" customHeight="true" outlineLevel="0" collapsed="false">
      <c r="A27" s="36" t="s">
        <v>252</v>
      </c>
      <c r="B27" s="35" t="s">
        <v>813</v>
      </c>
      <c r="C27" s="35"/>
      <c r="D27" s="35"/>
    </row>
    <row r="28" customFormat="false" ht="75" hidden="false" customHeight="true" outlineLevel="0" collapsed="false">
      <c r="A28" s="37" t="s">
        <v>289</v>
      </c>
      <c r="B28" s="35" t="s">
        <v>814</v>
      </c>
      <c r="C28" s="35"/>
      <c r="D28" s="35"/>
    </row>
    <row r="29" customFormat="false" ht="60" hidden="false" customHeight="true" outlineLevel="0" collapsed="false">
      <c r="A29" s="38" t="s">
        <v>392</v>
      </c>
      <c r="B29" s="35" t="s">
        <v>815</v>
      </c>
      <c r="C29" s="35"/>
      <c r="D29" s="35"/>
    </row>
    <row r="30" customFormat="false" ht="75" hidden="false" customHeight="true" outlineLevel="0" collapsed="false">
      <c r="A30" s="39" t="s">
        <v>582</v>
      </c>
      <c r="B30" s="35" t="s">
        <v>816</v>
      </c>
      <c r="C30" s="35"/>
      <c r="D30" s="35"/>
    </row>
  </sheetData>
  <mergeCells count="5">
    <mergeCell ref="B26:D26"/>
    <mergeCell ref="B27:D27"/>
    <mergeCell ref="B28:D28"/>
    <mergeCell ref="B29:D29"/>
    <mergeCell ref="B30:D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110"/>
  </cols>
  <sheetData>
    <row r="1" customFormat="false" ht="15" hidden="false" customHeight="false" outlineLevel="0" collapsed="false">
      <c r="A1" s="40" t="s">
        <v>817</v>
      </c>
    </row>
    <row r="2" customFormat="false" ht="26.85" hidden="false" customHeight="false" outlineLevel="0" collapsed="false">
      <c r="A2" s="41" t="s">
        <v>818</v>
      </c>
      <c r="B2" s="42" t="s">
        <v>819</v>
      </c>
    </row>
    <row r="3" customFormat="false" ht="15" hidden="false" customHeight="false" outlineLevel="0" collapsed="false">
      <c r="A3" s="41" t="s">
        <v>7</v>
      </c>
      <c r="B3" s="42" t="s">
        <v>820</v>
      </c>
    </row>
    <row r="4" customFormat="false" ht="26.85" hidden="false" customHeight="false" outlineLevel="0" collapsed="false">
      <c r="A4" s="41" t="s">
        <v>9</v>
      </c>
      <c r="B4" s="42" t="s">
        <v>821</v>
      </c>
    </row>
    <row r="5" customFormat="false" ht="26.85" hidden="false" customHeight="false" outlineLevel="0" collapsed="false">
      <c r="A5" s="41" t="s">
        <v>822</v>
      </c>
      <c r="B5" s="42" t="s">
        <v>823</v>
      </c>
    </row>
    <row r="6" customFormat="false" ht="39.55" hidden="false" customHeight="false" outlineLevel="0" collapsed="false">
      <c r="A6" s="41" t="s">
        <v>824</v>
      </c>
      <c r="B6" s="42" t="s">
        <v>825</v>
      </c>
    </row>
    <row r="7" customFormat="false" ht="15" hidden="false" customHeight="false" outlineLevel="0" collapsed="false">
      <c r="A7" s="41" t="s">
        <v>826</v>
      </c>
      <c r="B7" s="42" t="s">
        <v>827</v>
      </c>
    </row>
    <row r="8" customFormat="false" ht="77.6" hidden="false" customHeight="false" outlineLevel="0" collapsed="false">
      <c r="A8" s="41" t="s">
        <v>828</v>
      </c>
      <c r="B8" s="42" t="s">
        <v>829</v>
      </c>
    </row>
    <row r="9" customFormat="false" ht="39.55" hidden="false" customHeight="false" outlineLevel="0" collapsed="false">
      <c r="A9" s="41" t="s">
        <v>830</v>
      </c>
      <c r="B9" s="42" t="s">
        <v>831</v>
      </c>
    </row>
    <row r="10" customFormat="false" ht="26.85" hidden="false" customHeight="false" outlineLevel="0" collapsed="false">
      <c r="A10" s="41" t="s">
        <v>832</v>
      </c>
      <c r="B10" s="42" t="s">
        <v>833</v>
      </c>
    </row>
    <row r="11" customFormat="false" ht="52.2" hidden="false" customHeight="false" outlineLevel="0" collapsed="false">
      <c r="A11" s="41" t="s">
        <v>834</v>
      </c>
      <c r="B11" s="42" t="s">
        <v>835</v>
      </c>
    </row>
    <row r="12" customFormat="false" ht="26.85" hidden="false" customHeight="false" outlineLevel="0" collapsed="false">
      <c r="A12" s="41" t="s">
        <v>836</v>
      </c>
      <c r="B12" s="42" t="s">
        <v>837</v>
      </c>
    </row>
    <row r="13" customFormat="false" ht="15" hidden="false" customHeight="false" outlineLevel="0" collapsed="false">
      <c r="A13" s="40"/>
    </row>
    <row r="14" customFormat="false" ht="15" hidden="false" customHeight="false" outlineLevel="0" collapsed="false">
      <c r="A14" s="40" t="s">
        <v>838</v>
      </c>
    </row>
    <row r="15" customFormat="false" ht="15" hidden="false" customHeight="false" outlineLevel="0" collapsed="false">
      <c r="A15" s="41" t="s">
        <v>839</v>
      </c>
      <c r="B15" s="42" t="s">
        <v>840</v>
      </c>
    </row>
    <row r="16" customFormat="false" ht="23.85" hidden="false" customHeight="false" outlineLevel="0" collapsed="false">
      <c r="A16" s="41" t="s">
        <v>841</v>
      </c>
      <c r="B16" s="42" t="s">
        <v>842</v>
      </c>
    </row>
    <row r="17" customFormat="false" ht="15" hidden="false" customHeight="false" outlineLevel="0" collapsed="false">
      <c r="A17" s="41" t="s">
        <v>843</v>
      </c>
      <c r="B17" s="42" t="s">
        <v>844</v>
      </c>
    </row>
    <row r="18" customFormat="false" ht="26.85" hidden="false" customHeight="false" outlineLevel="0" collapsed="false">
      <c r="A18" s="41" t="s">
        <v>845</v>
      </c>
      <c r="B18" s="42" t="s">
        <v>846</v>
      </c>
    </row>
    <row r="19" customFormat="false" ht="15" hidden="false" customHeight="false" outlineLevel="0" collapsed="false">
      <c r="A19" s="41" t="s">
        <v>847</v>
      </c>
      <c r="B19" s="42" t="s">
        <v>848</v>
      </c>
    </row>
    <row r="20" customFormat="false" ht="15" hidden="false" customHeight="false" outlineLevel="0" collapsed="false">
      <c r="A20" s="41" t="s">
        <v>849</v>
      </c>
      <c r="B20" s="42" t="s">
        <v>850</v>
      </c>
    </row>
    <row r="21" customFormat="false" ht="15" hidden="false" customHeight="false" outlineLevel="0" collapsed="false">
      <c r="A21" s="41" t="s">
        <v>851</v>
      </c>
      <c r="B21" s="42" t="s">
        <v>852</v>
      </c>
    </row>
    <row r="22" customFormat="false" ht="15" hidden="false" customHeight="false" outlineLevel="0" collapsed="false">
      <c r="A22" s="41" t="s">
        <v>853</v>
      </c>
      <c r="B22" s="42" t="s">
        <v>854</v>
      </c>
    </row>
    <row r="23" customFormat="false" ht="15" hidden="false" customHeight="false" outlineLevel="0" collapsed="false">
      <c r="A23" s="41" t="s">
        <v>855</v>
      </c>
      <c r="B23" s="42" t="s">
        <v>856</v>
      </c>
    </row>
    <row r="24" customFormat="false" ht="15" hidden="false" customHeight="false" outlineLevel="0" collapsed="false">
      <c r="A24" s="41" t="s">
        <v>199</v>
      </c>
      <c r="B24" s="42" t="s">
        <v>857</v>
      </c>
    </row>
    <row r="25" customFormat="false" ht="15" hidden="false" customHeight="false" outlineLevel="0" collapsed="false">
      <c r="A25" s="41" t="s">
        <v>858</v>
      </c>
      <c r="B25" s="42" t="s">
        <v>859</v>
      </c>
    </row>
    <row r="26" customFormat="false" ht="26.85" hidden="false" customHeight="false" outlineLevel="0" collapsed="false">
      <c r="A26" s="41" t="s">
        <v>860</v>
      </c>
      <c r="B26" s="42" t="s">
        <v>861</v>
      </c>
    </row>
    <row r="27" customFormat="false" ht="15" hidden="false" customHeight="false" outlineLevel="0" collapsed="false">
      <c r="A27" s="41" t="s">
        <v>862</v>
      </c>
      <c r="B27" s="42" t="s">
        <v>863</v>
      </c>
    </row>
    <row r="28" customFormat="false" ht="23.85" hidden="false" customHeight="false" outlineLevel="0" collapsed="false">
      <c r="A28" s="41" t="s">
        <v>864</v>
      </c>
      <c r="B28" s="42" t="s">
        <v>865</v>
      </c>
    </row>
    <row r="29" customFormat="false" ht="26.85" hidden="false" customHeight="false" outlineLevel="0" collapsed="false">
      <c r="A29" s="41" t="s">
        <v>866</v>
      </c>
      <c r="B29" s="42" t="s">
        <v>867</v>
      </c>
    </row>
    <row r="30" customFormat="false" ht="15" hidden="false" customHeight="false" outlineLevel="0" collapsed="false">
      <c r="A30" s="41" t="s">
        <v>868</v>
      </c>
      <c r="B30" s="42" t="s">
        <v>869</v>
      </c>
    </row>
    <row r="31" customFormat="false" ht="26.85" hidden="false" customHeight="false" outlineLevel="0" collapsed="false">
      <c r="A31" s="41" t="s">
        <v>870</v>
      </c>
      <c r="B31" s="42" t="s">
        <v>871</v>
      </c>
    </row>
    <row r="32" customFormat="false" ht="15" hidden="false" customHeight="false" outlineLevel="0" collapsed="false">
      <c r="A32" s="41" t="s">
        <v>872</v>
      </c>
      <c r="B32" s="42" t="s">
        <v>873</v>
      </c>
    </row>
    <row r="33" customFormat="false" ht="15" hidden="false" customHeight="false" outlineLevel="0" collapsed="false">
      <c r="A33" s="41" t="s">
        <v>874</v>
      </c>
      <c r="B33" s="42" t="s">
        <v>875</v>
      </c>
    </row>
    <row r="34" customFormat="false" ht="15" hidden="false" customHeight="false" outlineLevel="0" collapsed="false">
      <c r="A34" s="40"/>
    </row>
    <row r="35" customFormat="false" ht="26.85" hidden="false" customHeight="false" outlineLevel="0" collapsed="false">
      <c r="A35" s="41" t="s">
        <v>876</v>
      </c>
      <c r="B35" s="42" t="s">
        <v>877</v>
      </c>
    </row>
    <row r="36" customFormat="false" ht="15" hidden="false" customHeight="false" outlineLevel="0" collapsed="false">
      <c r="A36" s="40"/>
    </row>
    <row r="37" customFormat="false" ht="15" hidden="false" customHeight="false" outlineLevel="0" collapsed="false">
      <c r="A37" s="40" t="s">
        <v>878</v>
      </c>
    </row>
    <row r="38" customFormat="false" ht="35.05" hidden="false" customHeight="false" outlineLevel="0" collapsed="false">
      <c r="A38" s="41" t="s">
        <v>879</v>
      </c>
      <c r="B38" s="42" t="s">
        <v>880</v>
      </c>
    </row>
    <row r="39" customFormat="false" ht="23.85" hidden="false" customHeight="false" outlineLevel="0" collapsed="false">
      <c r="A39" s="41" t="s">
        <v>881</v>
      </c>
      <c r="B39" s="42" t="s">
        <v>882</v>
      </c>
    </row>
    <row r="40" customFormat="false" ht="23.85" hidden="false" customHeight="false" outlineLevel="0" collapsed="false">
      <c r="A40" s="41" t="s">
        <v>883</v>
      </c>
      <c r="B40" s="42" t="s">
        <v>884</v>
      </c>
    </row>
    <row r="41" customFormat="false" ht="23.85" hidden="false" customHeight="false" outlineLevel="0" collapsed="false">
      <c r="A41" s="41" t="s">
        <v>885</v>
      </c>
      <c r="B41" s="42" t="s">
        <v>886</v>
      </c>
    </row>
    <row r="42" customFormat="false" ht="23.85" hidden="false" customHeight="false" outlineLevel="0" collapsed="false">
      <c r="A42" s="41" t="s">
        <v>887</v>
      </c>
      <c r="B42" s="42" t="s">
        <v>888</v>
      </c>
    </row>
    <row r="43" customFormat="false" ht="35.05" hidden="false" customHeight="false" outlineLevel="0" collapsed="false">
      <c r="A43" s="41" t="s">
        <v>889</v>
      </c>
      <c r="B43" s="42" t="s">
        <v>890</v>
      </c>
    </row>
    <row r="44" customFormat="false" ht="23.85" hidden="false" customHeight="false" outlineLevel="0" collapsed="false">
      <c r="A44" s="41" t="s">
        <v>891</v>
      </c>
      <c r="B44" s="42" t="s">
        <v>892</v>
      </c>
    </row>
    <row r="45" customFormat="false" ht="35.05" hidden="false" customHeight="false" outlineLevel="0" collapsed="false">
      <c r="A45" s="41" t="s">
        <v>893</v>
      </c>
      <c r="B45" s="42" t="s">
        <v>894</v>
      </c>
    </row>
    <row r="46" customFormat="false" ht="35.05" hidden="false" customHeight="false" outlineLevel="0" collapsed="false">
      <c r="A46" s="41" t="s">
        <v>895</v>
      </c>
      <c r="B46" s="42" t="s">
        <v>896</v>
      </c>
    </row>
    <row r="47" customFormat="false" ht="35.05" hidden="false" customHeight="false" outlineLevel="0" collapsed="false">
      <c r="A47" s="41" t="s">
        <v>897</v>
      </c>
      <c r="B47" s="42" t="s">
        <v>898</v>
      </c>
    </row>
    <row r="48" customFormat="false" ht="35.05" hidden="false" customHeight="false" outlineLevel="0" collapsed="false">
      <c r="A48" s="41" t="s">
        <v>899</v>
      </c>
      <c r="B48" s="42" t="s">
        <v>900</v>
      </c>
    </row>
    <row r="49" customFormat="false" ht="23.85" hidden="false" customHeight="false" outlineLevel="0" collapsed="false">
      <c r="A49" s="41" t="s">
        <v>901</v>
      </c>
      <c r="B49" s="42" t="s">
        <v>902</v>
      </c>
    </row>
    <row r="50" customFormat="false" ht="35.05" hidden="false" customHeight="false" outlineLevel="0" collapsed="false">
      <c r="A50" s="41" t="s">
        <v>903</v>
      </c>
      <c r="B50" s="42" t="s">
        <v>904</v>
      </c>
    </row>
    <row r="51" customFormat="false" ht="35.05" hidden="false" customHeight="false" outlineLevel="0" collapsed="false">
      <c r="A51" s="41" t="s">
        <v>905</v>
      </c>
      <c r="B51" s="42" t="s">
        <v>906</v>
      </c>
    </row>
    <row r="52" customFormat="false" ht="35.05" hidden="false" customHeight="false" outlineLevel="0" collapsed="false">
      <c r="A52" s="41" t="s">
        <v>907</v>
      </c>
      <c r="B52" s="42" t="s">
        <v>908</v>
      </c>
    </row>
    <row r="53" customFormat="false" ht="23.85" hidden="false" customHeight="false" outlineLevel="0" collapsed="false">
      <c r="A53" s="41" t="s">
        <v>909</v>
      </c>
      <c r="B53" s="42" t="s">
        <v>910</v>
      </c>
    </row>
    <row r="54" customFormat="false" ht="35.05" hidden="false" customHeight="false" outlineLevel="0" collapsed="false">
      <c r="A54" s="41" t="s">
        <v>911</v>
      </c>
      <c r="B54" s="42" t="s">
        <v>912</v>
      </c>
    </row>
    <row r="55" customFormat="false" ht="23.85" hidden="false" customHeight="false" outlineLevel="0" collapsed="false">
      <c r="A55" s="41" t="s">
        <v>913</v>
      </c>
      <c r="B55" s="42" t="s">
        <v>914</v>
      </c>
    </row>
    <row r="56" customFormat="false" ht="46.25" hidden="false" customHeight="false" outlineLevel="0" collapsed="false">
      <c r="A56" s="41" t="s">
        <v>915</v>
      </c>
      <c r="B56" s="42" t="s">
        <v>916</v>
      </c>
    </row>
    <row r="57" customFormat="false" ht="35.05" hidden="false" customHeight="false" outlineLevel="0" collapsed="false">
      <c r="A57" s="41" t="s">
        <v>917</v>
      </c>
      <c r="B57" s="42" t="s">
        <v>918</v>
      </c>
    </row>
    <row r="58" customFormat="false" ht="46.25" hidden="false" customHeight="false" outlineLevel="0" collapsed="false">
      <c r="A58" s="41" t="s">
        <v>919</v>
      </c>
      <c r="B58" s="42" t="s">
        <v>920</v>
      </c>
    </row>
    <row r="59" customFormat="false" ht="35.05" hidden="false" customHeight="false" outlineLevel="0" collapsed="false">
      <c r="A59" s="41" t="s">
        <v>921</v>
      </c>
      <c r="B59" s="42" t="s">
        <v>922</v>
      </c>
    </row>
    <row r="60" customFormat="false" ht="35.05" hidden="false" customHeight="false" outlineLevel="0" collapsed="false">
      <c r="A60" s="41" t="s">
        <v>923</v>
      </c>
      <c r="B60" s="42" t="s">
        <v>924</v>
      </c>
    </row>
    <row r="61" customFormat="false" ht="35.05" hidden="false" customHeight="false" outlineLevel="0" collapsed="false">
      <c r="A61" s="41" t="s">
        <v>925</v>
      </c>
      <c r="B61" s="42" t="s">
        <v>926</v>
      </c>
    </row>
    <row r="62" customFormat="false" ht="35.05" hidden="false" customHeight="false" outlineLevel="0" collapsed="false">
      <c r="A62" s="41" t="s">
        <v>927</v>
      </c>
      <c r="B62" s="42" t="s">
        <v>928</v>
      </c>
    </row>
    <row r="63" customFormat="false" ht="35.05" hidden="false" customHeight="false" outlineLevel="0" collapsed="false">
      <c r="A63" s="41" t="s">
        <v>929</v>
      </c>
      <c r="B63" s="42" t="s">
        <v>930</v>
      </c>
    </row>
    <row r="64" customFormat="false" ht="35.05" hidden="false" customHeight="false" outlineLevel="0" collapsed="false">
      <c r="A64" s="41" t="s">
        <v>931</v>
      </c>
      <c r="B64" s="42" t="s">
        <v>932</v>
      </c>
    </row>
    <row r="65" customFormat="false" ht="46.25" hidden="false" customHeight="false" outlineLevel="0" collapsed="false">
      <c r="A65" s="41" t="s">
        <v>933</v>
      </c>
      <c r="B65" s="42" t="s">
        <v>934</v>
      </c>
    </row>
    <row r="66" customFormat="false" ht="35.05" hidden="false" customHeight="false" outlineLevel="0" collapsed="false">
      <c r="A66" s="41" t="s">
        <v>935</v>
      </c>
      <c r="B66" s="42" t="s">
        <v>936</v>
      </c>
    </row>
    <row r="67" customFormat="false" ht="35.05" hidden="false" customHeight="false" outlineLevel="0" collapsed="false">
      <c r="A67" s="41" t="s">
        <v>937</v>
      </c>
      <c r="B67" s="42" t="s">
        <v>938</v>
      </c>
    </row>
    <row r="68" customFormat="false" ht="35.05" hidden="false" customHeight="false" outlineLevel="0" collapsed="false">
      <c r="A68" s="41" t="s">
        <v>939</v>
      </c>
      <c r="B68" s="42" t="s">
        <v>940</v>
      </c>
    </row>
    <row r="69" customFormat="false" ht="23.85" hidden="false" customHeight="false" outlineLevel="0" collapsed="false">
      <c r="A69" s="41" t="s">
        <v>941</v>
      </c>
      <c r="B69" s="42" t="s">
        <v>942</v>
      </c>
    </row>
    <row r="70" customFormat="false" ht="35.05" hidden="false" customHeight="false" outlineLevel="0" collapsed="false">
      <c r="A70" s="41" t="s">
        <v>943</v>
      </c>
      <c r="B70" s="42" t="s">
        <v>944</v>
      </c>
    </row>
    <row r="71" customFormat="false" ht="46.25" hidden="false" customHeight="false" outlineLevel="0" collapsed="false">
      <c r="A71" s="41" t="s">
        <v>945</v>
      </c>
      <c r="B71" s="42" t="s">
        <v>946</v>
      </c>
    </row>
    <row r="72" customFormat="false" ht="35.05" hidden="false" customHeight="false" outlineLevel="0" collapsed="false">
      <c r="A72" s="41" t="s">
        <v>947</v>
      </c>
      <c r="B72" s="42" t="s">
        <v>948</v>
      </c>
    </row>
    <row r="73" customFormat="false" ht="35.05" hidden="false" customHeight="false" outlineLevel="0" collapsed="false">
      <c r="A73" s="41" t="s">
        <v>949</v>
      </c>
      <c r="B73" s="42" t="s">
        <v>950</v>
      </c>
    </row>
    <row r="74" customFormat="false" ht="35.05" hidden="false" customHeight="false" outlineLevel="0" collapsed="false">
      <c r="A74" s="41" t="s">
        <v>951</v>
      </c>
      <c r="B74" s="42" t="s">
        <v>952</v>
      </c>
    </row>
    <row r="75" customFormat="false" ht="35.05" hidden="false" customHeight="false" outlineLevel="0" collapsed="false">
      <c r="A75" s="41" t="s">
        <v>953</v>
      </c>
      <c r="B75" s="42" t="s">
        <v>954</v>
      </c>
    </row>
    <row r="76" customFormat="false" ht="35.05" hidden="false" customHeight="false" outlineLevel="0" collapsed="false">
      <c r="A76" s="41" t="s">
        <v>955</v>
      </c>
      <c r="B76" s="42" t="s">
        <v>956</v>
      </c>
    </row>
    <row r="77" customFormat="false" ht="23.85" hidden="false" customHeight="false" outlineLevel="0" collapsed="false">
      <c r="A77" s="41" t="s">
        <v>957</v>
      </c>
      <c r="B77" s="42" t="s">
        <v>958</v>
      </c>
    </row>
    <row r="78" customFormat="false" ht="23.85" hidden="false" customHeight="false" outlineLevel="0" collapsed="false">
      <c r="A78" s="41" t="s">
        <v>959</v>
      </c>
      <c r="B78" s="42" t="s">
        <v>960</v>
      </c>
    </row>
    <row r="79" customFormat="false" ht="35.05" hidden="false" customHeight="false" outlineLevel="0" collapsed="false">
      <c r="A79" s="41" t="s">
        <v>961</v>
      </c>
      <c r="B79" s="42" t="s">
        <v>962</v>
      </c>
    </row>
    <row r="80" customFormat="false" ht="35.05" hidden="false" customHeight="false" outlineLevel="0" collapsed="false">
      <c r="A80" s="41" t="s">
        <v>963</v>
      </c>
      <c r="B80" s="42" t="s">
        <v>964</v>
      </c>
    </row>
    <row r="81" customFormat="false" ht="35.05" hidden="false" customHeight="false" outlineLevel="0" collapsed="false">
      <c r="A81" s="41" t="s">
        <v>965</v>
      </c>
      <c r="B81" s="42" t="s">
        <v>966</v>
      </c>
    </row>
    <row r="82" customFormat="false" ht="35.05" hidden="false" customHeight="false" outlineLevel="0" collapsed="false">
      <c r="A82" s="41" t="s">
        <v>967</v>
      </c>
      <c r="B82" s="42" t="s">
        <v>968</v>
      </c>
    </row>
    <row r="83" customFormat="false" ht="35.05" hidden="false" customHeight="false" outlineLevel="0" collapsed="false">
      <c r="A83" s="41" t="s">
        <v>969</v>
      </c>
      <c r="B83" s="42" t="s">
        <v>970</v>
      </c>
    </row>
    <row r="84" customFormat="false" ht="23.85" hidden="false" customHeight="false" outlineLevel="0" collapsed="false">
      <c r="A84" s="41" t="s">
        <v>971</v>
      </c>
      <c r="B84" s="42" t="s">
        <v>972</v>
      </c>
    </row>
    <row r="85" customFormat="false" ht="35.05" hidden="false" customHeight="false" outlineLevel="0" collapsed="false">
      <c r="A85" s="41" t="s">
        <v>973</v>
      </c>
      <c r="B85" s="42" t="s">
        <v>974</v>
      </c>
    </row>
    <row r="86" customFormat="false" ht="35.05" hidden="false" customHeight="false" outlineLevel="0" collapsed="false">
      <c r="A86" s="41" t="s">
        <v>975</v>
      </c>
      <c r="B86" s="42" t="s">
        <v>976</v>
      </c>
    </row>
    <row r="87" customFormat="false" ht="35.05" hidden="false" customHeight="false" outlineLevel="0" collapsed="false">
      <c r="A87" s="41" t="s">
        <v>977</v>
      </c>
      <c r="B87" s="42" t="s">
        <v>978</v>
      </c>
    </row>
    <row r="88" customFormat="false" ht="35.05" hidden="false" customHeight="false" outlineLevel="0" collapsed="false">
      <c r="A88" s="41" t="s">
        <v>979</v>
      </c>
      <c r="B88" s="42" t="s">
        <v>980</v>
      </c>
    </row>
    <row r="89" customFormat="false" ht="35.05" hidden="false" customHeight="false" outlineLevel="0" collapsed="false">
      <c r="A89" s="41" t="s">
        <v>981</v>
      </c>
      <c r="B89" s="42" t="s">
        <v>982</v>
      </c>
    </row>
    <row r="90" customFormat="false" ht="23.85" hidden="false" customHeight="false" outlineLevel="0" collapsed="false">
      <c r="A90" s="41" t="s">
        <v>983</v>
      </c>
      <c r="B90" s="42" t="s">
        <v>984</v>
      </c>
    </row>
    <row r="91" customFormat="false" ht="35.05" hidden="false" customHeight="false" outlineLevel="0" collapsed="false">
      <c r="A91" s="41" t="s">
        <v>985</v>
      </c>
      <c r="B91" s="42" t="s">
        <v>986</v>
      </c>
    </row>
    <row r="92" customFormat="false" ht="23.85" hidden="false" customHeight="false" outlineLevel="0" collapsed="false">
      <c r="A92" s="41" t="s">
        <v>987</v>
      </c>
      <c r="B92" s="42" t="s">
        <v>988</v>
      </c>
    </row>
    <row r="93" customFormat="false" ht="35.05" hidden="false" customHeight="false" outlineLevel="0" collapsed="false">
      <c r="A93" s="41" t="s">
        <v>989</v>
      </c>
      <c r="B93" s="42" t="s">
        <v>990</v>
      </c>
    </row>
    <row r="94" customFormat="false" ht="35.05" hidden="false" customHeight="false" outlineLevel="0" collapsed="false">
      <c r="A94" s="41" t="s">
        <v>991</v>
      </c>
      <c r="B94" s="42" t="s">
        <v>992</v>
      </c>
    </row>
    <row r="95" customFormat="false" ht="35.05" hidden="false" customHeight="false" outlineLevel="0" collapsed="false">
      <c r="A95" s="41" t="s">
        <v>993</v>
      </c>
      <c r="B95" s="42" t="s">
        <v>994</v>
      </c>
    </row>
    <row r="96" customFormat="false" ht="46.25" hidden="false" customHeight="false" outlineLevel="0" collapsed="false">
      <c r="A96" s="41" t="s">
        <v>995</v>
      </c>
      <c r="B96" s="42" t="s">
        <v>996</v>
      </c>
    </row>
    <row r="97" customFormat="false" ht="35.05" hidden="false" customHeight="false" outlineLevel="0" collapsed="false">
      <c r="A97" s="41" t="s">
        <v>997</v>
      </c>
      <c r="B97" s="42" t="s">
        <v>998</v>
      </c>
    </row>
    <row r="98" customFormat="false" ht="23.85" hidden="false" customHeight="false" outlineLevel="0" collapsed="false">
      <c r="A98" s="41" t="s">
        <v>999</v>
      </c>
      <c r="B98" s="42" t="s">
        <v>1000</v>
      </c>
    </row>
    <row r="99" customFormat="false" ht="23.85" hidden="false" customHeight="false" outlineLevel="0" collapsed="false">
      <c r="A99" s="41" t="s">
        <v>1001</v>
      </c>
      <c r="B99" s="42" t="s">
        <v>1002</v>
      </c>
    </row>
    <row r="100" customFormat="false" ht="35.05" hidden="false" customHeight="false" outlineLevel="0" collapsed="false">
      <c r="A100" s="41" t="s">
        <v>1003</v>
      </c>
      <c r="B100" s="42" t="s">
        <v>1004</v>
      </c>
    </row>
    <row r="101" customFormat="false" ht="23.85" hidden="false" customHeight="false" outlineLevel="0" collapsed="false">
      <c r="A101" s="41" t="s">
        <v>1005</v>
      </c>
      <c r="B101" s="42" t="s">
        <v>1006</v>
      </c>
    </row>
    <row r="102" customFormat="false" ht="23.85" hidden="false" customHeight="false" outlineLevel="0" collapsed="false">
      <c r="A102" s="41" t="s">
        <v>1007</v>
      </c>
      <c r="B102" s="42" t="s">
        <v>1008</v>
      </c>
    </row>
    <row r="103" customFormat="false" ht="35.05" hidden="false" customHeight="false" outlineLevel="0" collapsed="false">
      <c r="A103" s="41" t="s">
        <v>1009</v>
      </c>
      <c r="B103" s="42" t="s">
        <v>1010</v>
      </c>
    </row>
    <row r="104" customFormat="false" ht="35.05" hidden="false" customHeight="false" outlineLevel="0" collapsed="false">
      <c r="A104" s="41" t="s">
        <v>1011</v>
      </c>
      <c r="B104" s="42" t="s">
        <v>1012</v>
      </c>
    </row>
    <row r="105" customFormat="false" ht="35.05" hidden="false" customHeight="false" outlineLevel="0" collapsed="false">
      <c r="A105" s="41" t="s">
        <v>1013</v>
      </c>
      <c r="B105" s="42" t="s">
        <v>1014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2026-10-14T07:18:02Z</dcterms:created>
  <dc:creator>openpyxl</dc:creator>
  <dc:description/>
  <dc:language>en-US</dc:language>
  <cp:lastModifiedBy/>
  <dcterms:modified xsi:type="dcterms:W3CDTF">2026-10-14T07:18:02Z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