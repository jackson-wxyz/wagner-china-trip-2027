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des" sheetId="1" state="visible" r:id="rId3"/>
    <sheet name="Florence watch list" sheetId="2" state="visible" r:id="rId4"/>
    <sheet name="Ranked non-rides" sheetId="3" state="visible" r:id="rId5"/>
    <sheet name="Sources &amp; Notes" sheetId="4" state="visible" r:id="rId6"/>
  </sheets>
  <definedNames>
    <definedName function="false" hidden="true" localSheetId="0" name="_xlnm._FilterDatabase" vbProcedure="false">Rides!$A$4:$P$32</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2" authorId="0">
      <text>
        <r>
          <rPr>
            <sz val="10"/>
            <rFont val="Arial"/>
            <family val="2"/>
          </rPr>
          <t xml:space="preserve">Placeholder: you said she's 'almost' 36". Enter her real height (in shoes) and the 'Florence can ride?' column will update.</t>
        </r>
      </text>
    </comment>
  </commentList>
</comments>
</file>

<file path=xl/sharedStrings.xml><?xml version="1.0" encoding="utf-8"?>
<sst xmlns="http://schemas.openxmlformats.org/spreadsheetml/2006/main" count="489" uniqueCount="319">
  <si>
    <t xml:space="preserve">Orlando theme park rides: EPCOT, Animal Kingdom, Epic Universe (researched Oct 2026)</t>
  </si>
  <si>
    <t xml:space="preserve">Florence's height (inches):</t>
  </si>
  <si>
    <t xml:space="preserve">← edit the yellow cell; the "Florence can ride?" column recalculates. See the Sources &amp; Notes tab for caveats.</t>
  </si>
  <si>
    <t xml:space="preserve">Park</t>
  </si>
  <si>
    <t xml:space="preserve">Land / area</t>
  </si>
  <si>
    <t xml:space="preserve">Ride</t>
  </si>
  <si>
    <t xml:space="preserve">Ride type</t>
  </si>
  <si>
    <t xml:space="preserve">Min height (in)</t>
  </si>
  <si>
    <t xml:space="preserve">Height notes</t>
  </si>
  <si>
    <t xml:space="preserve">Florence can ride?</t>
  </si>
  <si>
    <t xml:space="preserve">Movie / franchise theming</t>
  </si>
  <si>
    <t xml:space="preserve">Watch-ahead pick (rating, notes)</t>
  </si>
  <si>
    <t xml:space="preserve">Line-skip system (Disney Lightning Lane / Universal Express)</t>
  </si>
  <si>
    <t xml:space="preserve">Single rider line?</t>
  </si>
  <si>
    <t xml:space="preserve">Duplicates a California ride?</t>
  </si>
  <si>
    <t xml:space="preserve">California notes</t>
  </si>
  <si>
    <t xml:space="preserve">Wandering in Disney rank (rides only)</t>
  </si>
  <si>
    <t xml:space="preserve">Wandering in Disney rank (all attractions in park)</t>
  </si>
  <si>
    <t xml:space="preserve">Status / notes</t>
  </si>
  <si>
    <t xml:space="preserve">EPCOT</t>
  </si>
  <si>
    <t xml:space="preserve">World Discovery</t>
  </si>
  <si>
    <t xml:space="preserve">Guardians of the Galaxy: Cosmic Rewind</t>
  </si>
  <si>
    <t xml:space="preserve">Indoor spinning coaster (reverse launch)</t>
  </si>
  <si>
    <t xml:space="preserve">Guardians of the Galaxy (Marvel)</t>
  </si>
  <si>
    <t xml:space="preserve">Guardians of the Galaxy (2014), PG-13. Grown-ups only; Florence can't ride.</t>
  </si>
  <si>
    <t xml:space="preserve">Lightning Lane Single Pass only (separate purchase)</t>
  </si>
  <si>
    <t xml:space="preserve">No</t>
  </si>
  <si>
    <t xml:space="preserve">Same IP only</t>
  </si>
  <si>
    <t xml:space="preserve">DCA's Guardians: Mission BREAKOUT! is a totally different ride (drop tower)</t>
  </si>
  <si>
    <t xml:space="preserve">#1 of 20</t>
  </si>
  <si>
    <t xml:space="preserve">Wandering in Disney's #1 in the park.</t>
  </si>
  <si>
    <t xml:space="preserve">Test Track</t>
  </si>
  <si>
    <t xml:space="preserve">Car-themed high-speed dark ride</t>
  </si>
  <si>
    <t xml:space="preserve">None (original car-design concept, Chevrolet)</t>
  </si>
  <si>
    <t xml:space="preserve">—</t>
  </si>
  <si>
    <t xml:space="preserve">Multi Pass – Tier 1</t>
  </si>
  <si>
    <t xml:space="preserve">Yes</t>
  </si>
  <si>
    <t xml:space="preserve">Partial</t>
  </si>
  <si>
    <t xml:space="preserve">Same ride system as Radiator Springs Racers (DCA), but different theme/show</t>
  </si>
  <si>
    <t xml:space="preserve">#3 of 20</t>
  </si>
  <si>
    <t xml:space="preserve">Reimagined version reopened July 2025. Single rider: everyone must be 7+.</t>
  </si>
  <si>
    <t xml:space="preserve">World Nature</t>
  </si>
  <si>
    <t xml:space="preserve">Soarin' Across America</t>
  </si>
  <si>
    <t xml:space="preserve">Hang-glider flight simulator (film)</t>
  </si>
  <si>
    <t xml:space="preserve">None (aerial film of U.S. landscapes)</t>
  </si>
  <si>
    <t xml:space="preserve">Multi Pass – Tier 2</t>
  </si>
  <si>
    <t xml:space="preserve">Same ride and same new film at Disney California Adventure (opened there July 2, 2026)</t>
  </si>
  <si>
    <t xml:space="preserve">#4 of 20</t>
  </si>
  <si>
    <t xml:space="preserve">New film debuted May 26, 2026 (replaced Soarin' Around the World).</t>
  </si>
  <si>
    <t xml:space="preserve">World Celebration</t>
  </si>
  <si>
    <t xml:space="preserve">Spaceship Earth</t>
  </si>
  <si>
    <t xml:space="preserve">Slow omnimover dark ride inside the geodesic sphere</t>
  </si>
  <si>
    <t xml:space="preserve">No minimum</t>
  </si>
  <si>
    <t xml:space="preserve">None (original history-of-communication story)</t>
  </si>
  <si>
    <t xml:space="preserve">#5 of 20</t>
  </si>
  <si>
    <t xml:space="preserve">Disney announced a major reimagining at D23 (Aug 2026), with closure dates not yet set. Check that it's still open before you go.</t>
  </si>
  <si>
    <t xml:space="preserve">Living with the Land</t>
  </si>
  <si>
    <t xml:space="preserve">Gentle boat ride through greenhouses</t>
  </si>
  <si>
    <t xml:space="preserve">None (real greenhouses and farms)</t>
  </si>
  <si>
    <t xml:space="preserve">#6 of 20</t>
  </si>
  <si>
    <t xml:space="preserve">World Showcase – Norway</t>
  </si>
  <si>
    <t xml:space="preserve">Frozen Ever After</t>
  </si>
  <si>
    <t xml:space="preserve">Boat dark ride (small drops)</t>
  </si>
  <si>
    <t xml:space="preserve">Frozen (2013)</t>
  </si>
  <si>
    <t xml:space="preserve">Frozen (2013), PG. The ride is set after the film; the short Frozen Fever (2015) fits too. Mildly scary bits: wolves and Marshmallow the snow monster, who also appears on the ride.</t>
  </si>
  <si>
    <t xml:space="preserve">No Frozen ride in California</t>
  </si>
  <si>
    <t xml:space="preserve">#7 of 20</t>
  </si>
  <si>
    <t xml:space="preserve">WiD moved it up after the animatronic faces were fixed.</t>
  </si>
  <si>
    <t xml:space="preserve">World Showcase – France</t>
  </si>
  <si>
    <t xml:space="preserve">Remy's Ratatouille Adventure</t>
  </si>
  <si>
    <t xml:space="preserve">Trackless 3D dark ride</t>
  </si>
  <si>
    <t xml:space="preserve">Ratatouille (2007, Pixar)</t>
  </si>
  <si>
    <t xml:space="preserve">Ratatouille (2007), G. On the ride you're rat-sized and get chased around Gusteau's kitchen: mostly silly, but loud and dark in spots.</t>
  </si>
  <si>
    <t xml:space="preserve">Otherwise only at Disneyland Paris</t>
  </si>
  <si>
    <t xml:space="preserve">#8 of 20</t>
  </si>
  <si>
    <t xml:space="preserve">Single rider (added in Nov 2024): everyone must be 7+.</t>
  </si>
  <si>
    <t xml:space="preserve">World Showcase – Mexico</t>
  </si>
  <si>
    <t xml:space="preserve">Gran Fiesta Tour Starring the Three Caballeros</t>
  </si>
  <si>
    <t xml:space="preserve">Gentle indoor boat ride</t>
  </si>
  <si>
    <t xml:space="preserve">The Three Caballeros (1944)</t>
  </si>
  <si>
    <t xml:space="preserve">The Three Caballeros (1944 Disney film, on Disney+). Stars Donald Duck, José Carioca and Panchito; any Donald Duck cartoon is enough prep.</t>
  </si>
  <si>
    <t xml:space="preserve">None</t>
  </si>
  <si>
    <t xml:space="preserve">#11 of 20</t>
  </si>
  <si>
    <t xml:space="preserve">Mission: SPACE</t>
  </si>
  <si>
    <t xml:space="preserve">Motion simulator; Orange = intense centrifuge, Green = milder</t>
  </si>
  <si>
    <t xml:space="preserve">40" for Green (milder); 44" for Orange (intense centrifuge)</t>
  </si>
  <si>
    <t xml:space="preserve">None (original Mars mission)</t>
  </si>
  <si>
    <t xml:space="preserve">#13 of 20</t>
  </si>
  <si>
    <t xml:space="preserve">Journey Into Imagination with Figment</t>
  </si>
  <si>
    <t xml:space="preserve">Slow dark ride</t>
  </si>
  <si>
    <t xml:space="preserve">None (Figment is an original EPCOT character)</t>
  </si>
  <si>
    <t xml:space="preserve">#17 of 20</t>
  </si>
  <si>
    <t xml:space="preserve">The Seas with Nemo &amp; Friends</t>
  </si>
  <si>
    <t xml:space="preserve">Slow clamshell omnimover dark ride + aquarium</t>
  </si>
  <si>
    <t xml:space="preserve">Finding Nemo (2003, Pixar)</t>
  </si>
  <si>
    <t xml:space="preserve">Finding Nemo (2003), G. The shark and anglerfish scenes are a bit scary for little ones.</t>
  </si>
  <si>
    <t xml:space="preserve">Disneyland's Finding Nemo Submarine Voyage is a different ride</t>
  </si>
  <si>
    <t xml:space="preserve">#18 of 20</t>
  </si>
  <si>
    <t xml:space="preserve">Animal Kingdom</t>
  </si>
  <si>
    <t xml:space="preserve">Africa</t>
  </si>
  <si>
    <t xml:space="preserve">Kilimanjaro Safaris</t>
  </si>
  <si>
    <t xml:space="preserve">Open-truck safari through animal savanna</t>
  </si>
  <si>
    <t xml:space="preserve">None (real live animals)</t>
  </si>
  <si>
    <t xml:space="preserve">No movie needed. An African-animals picture book or nature show is a nice primer.</t>
  </si>
  <si>
    <t xml:space="preserve">Multi Pass (Animal Kingdom has no tiers)</t>
  </si>
  <si>
    <t xml:space="preserve">#1 of 8</t>
  </si>
  <si>
    <t xml:space="preserve">Pandora</t>
  </si>
  <si>
    <t xml:space="preserve">Avatar Flight of Passage</t>
  </si>
  <si>
    <t xml:space="preserve">3D flying simulator (motorcycle-style seat)</t>
  </si>
  <si>
    <t xml:space="preserve">Avatar (2009)</t>
  </si>
  <si>
    <t xml:space="preserve">Avatar (2009), PG-13. Grown-ups only.</t>
  </si>
  <si>
    <t xml:space="preserve">#2 of 8</t>
  </si>
  <si>
    <t xml:space="preserve">Asia</t>
  </si>
  <si>
    <t xml:space="preserve">Expedition Everest</t>
  </si>
  <si>
    <t xml:space="preserve">Coaster (forwards and backwards)</t>
  </si>
  <si>
    <t xml:space="preserve">None (original yeti legend)</t>
  </si>
  <si>
    <t xml:space="preserve">No (ended Sept 21, 2026)</t>
  </si>
  <si>
    <t xml:space="preserve">Matterhorn (Disneyland) is a different mountain coaster</t>
  </si>
  <si>
    <t xml:space="preserve">#3 of 8</t>
  </si>
  <si>
    <t xml:space="preserve">Yeti animatronic still not working properly. Single rider line ended Sept 2026.</t>
  </si>
  <si>
    <t xml:space="preserve">Na'vi River Journey</t>
  </si>
  <si>
    <t xml:space="preserve">Slow indoor boat ride</t>
  </si>
  <si>
    <t xml:space="preserve">Skip the movie for Florence (PG-13). The ride is a calm, glowing-jungle boat trip that needs no backstory.</t>
  </si>
  <si>
    <t xml:space="preserve">#6 of 8</t>
  </si>
  <si>
    <t xml:space="preserve">Kali River Rapids</t>
  </si>
  <si>
    <t xml:space="preserve">River rapids raft (you will get soaked)</t>
  </si>
  <si>
    <t xml:space="preserve">Similar raft ride: Grizzly River Run at DCA</t>
  </si>
  <si>
    <t xml:space="preserve">#7 of 8</t>
  </si>
  <si>
    <t xml:space="preserve">Africa → Rafiki's Planet Watch</t>
  </si>
  <si>
    <t xml:space="preserve">Wildlife Express Train</t>
  </si>
  <si>
    <t xml:space="preserve">Short train ride to Conservation Station / Bluey's Wild World</t>
  </si>
  <si>
    <t xml:space="preserve">Bluey (TV series), since 2026</t>
  </si>
  <si>
    <t xml:space="preserve">Bluey (TV-Y, Disney+). Bluey audio plays on the train, and it takes you to Bluey's Wild World. The easiest watch-ahead on this list.</t>
  </si>
  <si>
    <t xml:space="preserve">None (a virtual queue was used for Bluey's Wild World access at launch)</t>
  </si>
  <si>
    <t xml:space="preserve">Not ranked</t>
  </si>
  <si>
    <t xml:space="preserve">WiD doesn't rank it. Now the only way to reach Bluey's Wild World (opened May 26, 2026), with Bluey audio on board.</t>
  </si>
  <si>
    <t xml:space="preserve">Epic Universe</t>
  </si>
  <si>
    <t xml:space="preserve">Ministry of Magic (Harry Potter)</t>
  </si>
  <si>
    <t xml:space="preserve">Harry Potter and the Battle at the Ministry</t>
  </si>
  <si>
    <t xml:space="preserve">Trackless lift-vehicle dark ride</t>
  </si>
  <si>
    <t xml:space="preserve">Harry Potter (set just after Deathly Hallows); the land is 1920s Paris from Fantastic Beasts</t>
  </si>
  <si>
    <t xml:space="preserve">Order of the Phoenix (2007), PG-13: introduces Umbridge and the Ministry of Magic. Grown-ups only.</t>
  </si>
  <si>
    <t xml:space="preserve">Universal Express (since Aug 2025)</t>
  </si>
  <si>
    <t xml:space="preserve">Universal Studios Hollywood has different HP rides (Forbidden Journey, Hippogriff)</t>
  </si>
  <si>
    <t xml:space="preserve">#1 of 11</t>
  </si>
  <si>
    <t xml:space="preserve">Wandering in Disney's #1 in the park. Single rider skips the pre-shows, so don't use it on your first ride.</t>
  </si>
  <si>
    <t xml:space="preserve">Dark Universe</t>
  </si>
  <si>
    <t xml:space="preserve">Monsters Unchained: The Frankenstein Experiment</t>
  </si>
  <si>
    <t xml:space="preserve">Robot-arm dark ride</t>
  </si>
  <si>
    <t xml:space="preserve">Universal Classic Monsters (Frankenstein, Dracula, etc.)</t>
  </si>
  <si>
    <t xml:space="preserve">Frankenstein (1931) / Bride of Frankenstein (1935). Grown-ups only.</t>
  </si>
  <si>
    <t xml:space="preserve">Universal Express</t>
  </si>
  <si>
    <t xml:space="preserve">#2 of 11</t>
  </si>
  <si>
    <t xml:space="preserve">Celestial Park</t>
  </si>
  <si>
    <t xml:space="preserve">Stardust Racers</t>
  </si>
  <si>
    <t xml:space="preserve">Dual-launch racing coaster</t>
  </si>
  <si>
    <t xml:space="preserve">None (original)</t>
  </si>
  <si>
    <t xml:space="preserve">#3 of 11</t>
  </si>
  <si>
    <t xml:space="preserve">Super Nintendo World – Donkey Kong Country</t>
  </si>
  <si>
    <t xml:space="preserve">Mine-Cart Madness</t>
  </si>
  <si>
    <t xml:space="preserve">Family coaster with mine-cart 'jumps'</t>
  </si>
  <si>
    <t xml:space="preserve">Donkey Kong Country (Nintendo)</t>
  </si>
  <si>
    <t xml:space="preserve">The Super Mario Bros. Movie (2023), PG, which features Donkey Kong. Florence can't ride yet, but can see Donkey Kong's land.</t>
  </si>
  <si>
    <t xml:space="preserve">Otherwise only at Universal Studios Japan</t>
  </si>
  <si>
    <t xml:space="preserve">#4 of 11</t>
  </si>
  <si>
    <t xml:space="preserve">Super Nintendo World</t>
  </si>
  <si>
    <t xml:space="preserve">Mario Kart: Bowser's Challenge</t>
  </si>
  <si>
    <t xml:space="preserve">AR/3D interactive dark ride</t>
  </si>
  <si>
    <t xml:space="preserve">Mario Kart / Super Mario (Nintendo)</t>
  </si>
  <si>
    <t xml:space="preserve">The Super Mario Bros. Movie (2023), PG: Mario, Bowser, and a Rainbow Road kart race.</t>
  </si>
  <si>
    <t xml:space="preserve">Same ride at Universal Studios Hollywood's Super Nintendo World</t>
  </si>
  <si>
    <t xml:space="preserve">#5 of 11</t>
  </si>
  <si>
    <t xml:space="preserve">Isle of Berk (How to Train Your Dragon)</t>
  </si>
  <si>
    <t xml:space="preserve">Hiccup's Wing Gliders</t>
  </si>
  <si>
    <t xml:space="preserve">Launched family coaster</t>
  </si>
  <si>
    <t xml:space="preserve">How to Train Your Dragon</t>
  </si>
  <si>
    <t xml:space="preserve">How to Train Your Dragon (2010, animated), PG.</t>
  </si>
  <si>
    <t xml:space="preserve">Yes (reported dropped at times)</t>
  </si>
  <si>
    <t xml:space="preserve">#6 of 11</t>
  </si>
  <si>
    <t xml:space="preserve">Single rider availability has been inconsistent; check the app.</t>
  </si>
  <si>
    <t xml:space="preserve">Constellation Carousel</t>
  </si>
  <si>
    <t xml:space="preserve">Carousel</t>
  </si>
  <si>
    <t xml:space="preserve">No minimum; under 48" need a supervising companion</t>
  </si>
  <si>
    <t xml:space="preserve">None (original constellation creatures)</t>
  </si>
  <si>
    <t xml:space="preserve">#7 of 11</t>
  </si>
  <si>
    <t xml:space="preserve">Best at night, when the ceiling lights up.</t>
  </si>
  <si>
    <t xml:space="preserve">Curse of the Werewolf</t>
  </si>
  <si>
    <t xml:space="preserve">Spinning family coaster</t>
  </si>
  <si>
    <t xml:space="preserve">40"–48" need a supervising companion</t>
  </si>
  <si>
    <t xml:space="preserve">Universal Classic Monsters: The Wolf Man (1941)</t>
  </si>
  <si>
    <t xml:space="preserve">The Wolf Man (1941). Grown-ups only.</t>
  </si>
  <si>
    <t xml:space="preserve">#8 of 11</t>
  </si>
  <si>
    <t xml:space="preserve">Yoshi's Adventure</t>
  </si>
  <si>
    <t xml:space="preserve">Slow kiddie ride</t>
  </si>
  <si>
    <t xml:space="preserve">Under 48" need a supervising companion</t>
  </si>
  <si>
    <t xml:space="preserve">Super Mario (Nintendo): Yoshi</t>
  </si>
  <si>
    <t xml:space="preserve">The Super Mario Galaxy Movie (2026), PG: Yoshi's first big movie role (voiced by Donald Glover).</t>
  </si>
  <si>
    <t xml:space="preserve">Otherwise only at Universal Studios Japan (not in Hollywood)</t>
  </si>
  <si>
    <t xml:space="preserve">#9 of 11</t>
  </si>
  <si>
    <t xml:space="preserve">Probably the one Epic Universe ride with a height limit that Florence can do.</t>
  </si>
  <si>
    <t xml:space="preserve">Dragon Racer's Rally</t>
  </si>
  <si>
    <t xml:space="preserve">Rider-controlled flying/barrel-roll ride</t>
  </si>
  <si>
    <t xml:space="preserve">Not on Express (as of last report)</t>
  </si>
  <si>
    <t xml:space="preserve">#10 of 11</t>
  </si>
  <si>
    <t xml:space="preserve">Low capacity.</t>
  </si>
  <si>
    <t xml:space="preserve">Fyre Drill</t>
  </si>
  <si>
    <t xml:space="preserve">Interactive water boat ride (you'll get wet)</t>
  </si>
  <si>
    <t xml:space="preserve">How to Train Your Dragon (the Viking village of Berk)</t>
  </si>
  <si>
    <t xml:space="preserve">How to Train Your Dragon (2010, animated), PG: Hiccup, Toothless and Berk. There's also a 2025 live-action remake (PG). Some intense dragon-battle scenes.</t>
  </si>
  <si>
    <t xml:space="preserve">#11 of 11</t>
  </si>
  <si>
    <t xml:space="preserve">Scheduled refurbishment Jan 25 – Feb 4, 2027.</t>
  </si>
  <si>
    <t xml:space="preserve">Rides Florence can do now:</t>
  </si>
  <si>
    <t xml:space="preserve">Pre-trip watch list for Florence (rides she can do at her current height)</t>
  </si>
  <si>
    <t xml:space="preserve">Roughly easiest/most toddler-friendly first. The 'Can ride?' column looks up the Rides tab, so it follows the height cell.</t>
  </si>
  <si>
    <t xml:space="preserve">Watch</t>
  </si>
  <si>
    <t xml:space="preserve">Rating</t>
  </si>
  <si>
    <t xml:space="preserve">Sets up this ride</t>
  </si>
  <si>
    <t xml:space="preserve">Notes</t>
  </si>
  <si>
    <t xml:space="preserve">Bluey (any episodes)</t>
  </si>
  <si>
    <t xml:space="preserve">TV-Y</t>
  </si>
  <si>
    <t xml:space="preserve">Train to Bluey's Wild World, with Bluey audio on board.</t>
  </si>
  <si>
    <t xml:space="preserve">Finding Nemo (2003)</t>
  </si>
  <si>
    <t xml:space="preserve">G</t>
  </si>
  <si>
    <t xml:space="preserve">Shark/anglerfish scenes are a little scary.</t>
  </si>
  <si>
    <t xml:space="preserve">Ratatouille (2007)</t>
  </si>
  <si>
    <t xml:space="preserve">The ride's chase scenes are loud/dark in spots.</t>
  </si>
  <si>
    <t xml:space="preserve">Frozen (2013) + Frozen Fever short (2015)</t>
  </si>
  <si>
    <t xml:space="preserve">PG</t>
  </si>
  <si>
    <t xml:space="preserve">Wolves and Marshmallow the snow monster may scare her.</t>
  </si>
  <si>
    <t xml:space="preserve">The Three Caballeros (1944) or Donald Duck shorts</t>
  </si>
  <si>
    <t xml:space="preserve">Not rated (1944)</t>
  </si>
  <si>
    <t xml:space="preserve">Short, gentle ride; Donald familiarity is plenty.</t>
  </si>
  <si>
    <t xml:space="preserve">The Super Mario Galaxy Movie (2026)</t>
  </si>
  <si>
    <t xml:space="preserve">Yoshi's big role. The 2023 Super Mario Bros. Movie (PG) covers the rest of Super Nintendo World.</t>
  </si>
  <si>
    <t xml:space="preserve">How to Train Your Dragon (2010, animated)</t>
  </si>
  <si>
    <t xml:space="preserve">Some intense dragon battles; Toothless and Berk feature heavily in the land.</t>
  </si>
  <si>
    <t xml:space="preserve">Attractions Wandering in Disney ranks that aren't rides (excluded from the Rides tab)</t>
  </si>
  <si>
    <t xml:space="preserve">Attraction</t>
  </si>
  <si>
    <t xml:space="preserve">Type</t>
  </si>
  <si>
    <t xml:space="preserve">Impressions de France</t>
  </si>
  <si>
    <t xml:space="preserve">Film (World Showcase)</t>
  </si>
  <si>
    <t xml:space="preserve">#2 of 20</t>
  </si>
  <si>
    <t xml:space="preserve">Journey of Water, Inspired by Moana</t>
  </si>
  <si>
    <t xml:space="preserve">Walk-through water trail</t>
  </si>
  <si>
    <t xml:space="preserve">#9 of 20</t>
  </si>
  <si>
    <t xml:space="preserve">The American Adventure</t>
  </si>
  <si>
    <t xml:space="preserve">Audio-animatronic stage show</t>
  </si>
  <si>
    <t xml:space="preserve">#10 of 20</t>
  </si>
  <si>
    <t xml:space="preserve">Reflections of China</t>
  </si>
  <si>
    <t xml:space="preserve">Circle-Vision 360 film</t>
  </si>
  <si>
    <t xml:space="preserve">#12 of 20</t>
  </si>
  <si>
    <t xml:space="preserve">Canada Far and Wide</t>
  </si>
  <si>
    <t xml:space="preserve">#14 of 20</t>
  </si>
  <si>
    <t xml:space="preserve">Awesome Planet</t>
  </si>
  <si>
    <t xml:space="preserve">Film</t>
  </si>
  <si>
    <t xml:space="preserve">#15 of 20</t>
  </si>
  <si>
    <t xml:space="preserve">Turtle Talk with Crush</t>
  </si>
  <si>
    <t xml:space="preserve">Interactive show</t>
  </si>
  <si>
    <t xml:space="preserve">#16 of 20</t>
  </si>
  <si>
    <t xml:space="preserve">Disney &amp; Pixar Short Film Festival</t>
  </si>
  <si>
    <t xml:space="preserve">3D film</t>
  </si>
  <si>
    <t xml:space="preserve">#19 of 20</t>
  </si>
  <si>
    <t xml:space="preserve">Beauty and the Beast Sing-Along</t>
  </si>
  <si>
    <t xml:space="preserve">Film / sing-along</t>
  </si>
  <si>
    <t xml:space="preserve">#20 of 20</t>
  </si>
  <si>
    <t xml:space="preserve">Maharajah Jungle Trek</t>
  </si>
  <si>
    <t xml:space="preserve">Walking trail (tigers, etc.)</t>
  </si>
  <si>
    <t xml:space="preserve">#4 of 8</t>
  </si>
  <si>
    <t xml:space="preserve">Gorilla Falls Exploration Trail</t>
  </si>
  <si>
    <t xml:space="preserve">Walking trail (gorillas, hippos)</t>
  </si>
  <si>
    <t xml:space="preserve">#5 of 8</t>
  </si>
  <si>
    <t xml:space="preserve">Zootopia: Better Zoogether!</t>
  </si>
  <si>
    <t xml:space="preserve">3D theater show</t>
  </si>
  <si>
    <t xml:space="preserve">#8 of 8</t>
  </si>
  <si>
    <t xml:space="preserve">Recently closed at Animal Kingdom (don't plan on these):</t>
  </si>
  <si>
    <t xml:space="preserve">DINOSAUR closed Feb 2, 2026 and TriceraTop Spin closed Jan 2026. DinoLand is becoming 'Tropical Americas', with 'Indiana Jones and the Myth of the Jade Serpent' expected around 2027.</t>
  </si>
  <si>
    <t xml:space="preserve">How to read the Rides tab</t>
  </si>
  <si>
    <t xml:space="preserve">Blank = no minimum. Mission: SPACE lists the 40" Green side; Orange needs 44".</t>
  </si>
  <si>
    <t xml:space="preserve">Formula comparing the yellow cell on the Rides tab against Min height. Disney and Universal measure at the ride entrance, in shoes. Universal also requires a supervising companion for kids under 48" on most rides.</t>
  </si>
  <si>
    <t xml:space="preserve">Parent swap</t>
  </si>
  <si>
    <t xml:space="preserve">Disney (Rider Switch) and Universal (Child Swap) both let one adult ride while the other waits with Florence, and then the second adult rides without re-queuing. It's offered on most height-restricted rides.</t>
  </si>
  <si>
    <t xml:space="preserve">Line-skip (Disney)</t>
  </si>
  <si>
    <t xml:space="preserve">Lightning Lane Multi Pass: EPCOT has tiers (you pick 1 Tier 1 + 2 Tier 2 in advance); Animal Kingdom has no tiers. Cosmic Rewind and Flight of Passage are Single Pass only (paid separately, per ride). Tier assignments shift, so check the My Disney Experience app before you book.</t>
  </si>
  <si>
    <t xml:space="preserve">Line-skip (Universal)</t>
  </si>
  <si>
    <t xml:space="preserve">Epic Universe Express is its own paid product: one use per ride, about $130–$350+/day depending on the date. Free Express Unlimited for Universal's premier-hotel guests does NOT cover Epic Universe. Express list is from Universal's Aug 2025 expansion (12 attractions, everything but Dragon Racer's Rally).</t>
  </si>
  <si>
    <t xml:space="preserve">Single rider</t>
  </si>
  <si>
    <t xml:space="preserve">Availability changes day to day at both resorts. Disney's single rider lines require every rider to be 7+. Epic Universe's lines are reported to save time unevenly.</t>
  </si>
  <si>
    <t xml:space="preserve">California duplicates</t>
  </si>
  <si>
    <t xml:space="preserve">Compared against Disneyland, Disney California Adventure (DCA) and Universal Studios Hollywood. Yes = essentially the same ride; Partial = same ride system or very similar experience; Same IP only = same franchise but a different ride.</t>
  </si>
  <si>
    <t xml:space="preserve">Wandering in Disney rank</t>
  </si>
  <si>
    <t xml:space="preserve">'Rides only' re-numbers the blog's list after dropping films/shows/trails. 'All attractions' is the blog's own number (it ranks films and walk-throughs but not live shows or character meets).</t>
  </si>
  <si>
    <t xml:space="preserve">Sources</t>
  </si>
  <si>
    <t xml:space="preserve">WiD – EPCOT (May 26, 2026)</t>
  </si>
  <si>
    <t xml:space="preserve">https://wanderingindisney.com/2026/05/26/epcot-attraction-rankings/</t>
  </si>
  <si>
    <t xml:space="preserve">WiD – Animal Kingdom (Aug 9, 2026)</t>
  </si>
  <si>
    <t xml:space="preserve">https://wanderingindisney.com/2026/08/09/disneys-animal-kingdom-attraction-rankings/</t>
  </si>
  <si>
    <t xml:space="preserve">WiD – Epic Universe (Jul 20, 2026)</t>
  </si>
  <si>
    <t xml:space="preserve">https://wanderingindisney.com/2026/07/20/epic-universe-attraction-rankings/</t>
  </si>
  <si>
    <t xml:space="preserve">Epic Universe heights</t>
  </si>
  <si>
    <t xml:space="preserve">https://www.universalorlando.com/web/en/us/plan-your-visit/hours-information/ride-height-requirements ; https://touringplans.com/epic-universe/attractions/height-requirements</t>
  </si>
  <si>
    <t xml:space="preserve">Epic Universe Express</t>
  </si>
  <si>
    <t xml:space="preserve">https://wdwnt.com/2025/08/two-more-rides-added-express-pass-epic-universe/</t>
  </si>
  <si>
    <t xml:space="preserve">Epic Universe single rider</t>
  </si>
  <si>
    <t xml:space="preserve">https://www.disneytouristblog.com/single-rider-lines-epic-universe-universal-orlando/</t>
  </si>
  <si>
    <t xml:space="preserve">EPCOT Lightning Lane / single rider</t>
  </si>
  <si>
    <t xml:space="preserve">https://www.mousehacking.com/blog/epcot-lightning-lanes-rides-and-strategy</t>
  </si>
  <si>
    <t xml:space="preserve">Animal Kingdom Lightning Lane</t>
  </si>
  <si>
    <t xml:space="preserve">https://www.mousehacking.com/blog/animal-kingdom-lightning-lanes-rides-and-strategy</t>
  </si>
  <si>
    <t xml:space="preserve">Everest single rider ending</t>
  </si>
  <si>
    <t xml:space="preserve">https://www.disneytouristblog.com/disney-world-confirms-single-rider-is-ending-at-expedition-everest/</t>
  </si>
  <si>
    <t xml:space="preserve">https://www.wdwinfo.com/news-stories/reimagined-soarin-across-america-now-open-at-disneyland/</t>
  </si>
  <si>
    <t xml:space="preserve">Wildlife Express / Bluey</t>
  </si>
  <si>
    <t xml:space="preserve">https://blogmickey.com/2026/05/bluey-audio-now-playing-on-wildlife-express-train-at-animal-kingdom/</t>
  </si>
  <si>
    <t xml:space="preserve">Spaceship Earth reimagining</t>
  </si>
  <si>
    <t xml:space="preserve">https://insidethemagic.net/2026/08/official-disney-reveals-historic-spaceship-earth-replacement-at-d23-after-43-years-sb1/</t>
  </si>
  <si>
    <t xml:space="preserve">Fyre Drill refurb</t>
  </si>
  <si>
    <t xml:space="preserve">https://www.disneyfoodblog.com/2026/08/07/confirmed-a-popular-epic-universe-ride-is-closing-again/</t>
  </si>
  <si>
    <t xml:space="preserve">Caveat</t>
  </si>
  <si>
    <t xml:space="preserve">Researched Oct 13, 2026 from blogs and fan sites, not official park pages, for most line-skip and single-rider details. Check the official apps a week or two before the trip for refurbishment closures.</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</si>
</sst>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b val="true"/>
      <sz val="11"/>
      <color rgb="FF0000FF"/>
      <name val="Arial"/>
      <family val="0"/>
      <charset val="1"/>
    </font>
    <font>
      <i val="true"/>
      <sz val="11"/>
      <color rgb="FF595959"/>
      <name val="Arial"/>
      <family val="0"/>
      <charset val="1"/>
    </font>
    <font>
      <b val="true"/>
      <sz val="11"/>
      <color rgb="FFFFFFFF"/>
      <name val="Arial"/>
      <family val="0"/>
      <charset val="1"/>
    </font>
    <font>
      <sz val="11"/>
      <name val="Arial"/>
      <family val="0"/>
      <charset val="1"/>
    </font>
    <font>
      <sz val="10"/>
      <name val="Arial"/>
      <family val="2"/>
    </font>
    <font>
      <b val="true"/>
      <sz val="12"/>
      <name val="Arial"/>
      <family val="0"/>
      <charset val="1"/>
    </font>
    <font>
      <b val="true"/>
      <sz val="10"/>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E8F1FB"/>
        <bgColor rgb="FFF3ECFA"/>
      </patternFill>
    </fill>
    <fill>
      <patternFill patternType="solid">
        <fgColor rgb="FFEAF5E6"/>
        <bgColor rgb="FFE8F1FB"/>
      </patternFill>
    </fill>
    <fill>
      <patternFill patternType="solid">
        <fgColor rgb="FFF3ECFA"/>
        <bgColor rgb="FFE8F1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right"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fgColor rgb="FFE8F1FB"/>
          <bgColor rgb="FF000000"/>
        </patternFill>
      </fill>
    </dxf>
    <dxf>
      <fill>
        <patternFill patternType="solid">
          <fgColor rgb="FFEAF5E6"/>
          <bgColor rgb="FF000000"/>
        </patternFill>
      </fill>
    </dxf>
    <dxf>
      <fill>
        <patternFill patternType="solid">
          <fgColor rgb="FFF3ECFA"/>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FFEB9C"/>
          <bgColor rgb="FF000000"/>
        </patternFill>
      </fill>
    </dxf>
    <dxf>
      <font>
        <name val="Arial"/>
        <charset val="1"/>
        <family val="0"/>
        <b val="1"/>
        <color rgb="FF006100"/>
      </font>
      <fill>
        <patternFill>
          <bgColor rgb="FFC6EFCE"/>
        </patternFill>
      </fill>
    </dxf>
    <dxf>
      <font>
        <name val="Arial"/>
        <charset val="1"/>
        <family val="0"/>
        <color rgb="FF9C0006"/>
      </font>
      <fill>
        <patternFill>
          <bgColor rgb="FFFFC7CE"/>
        </patternFill>
      </fill>
    </dxf>
    <dxf>
      <font>
        <name val="Arial"/>
        <charset val="1"/>
        <family val="0"/>
        <b val="1"/>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EAF5E6"/>
      <rgbColor rgb="FFE8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3ECFA"/>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4" min="3" style="0" width="30"/>
    <col collapsed="false" customWidth="true" hidden="false" outlineLevel="0" max="5" min="5" style="0" width="10"/>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44"/>
    <col collapsed="false" customWidth="true" hidden="false" outlineLevel="0" max="10" min="10" style="0" width="30"/>
    <col collapsed="false" customWidth="true" hidden="false" outlineLevel="0" max="11" min="11" style="0" width="13"/>
    <col collapsed="false" customWidth="true" hidden="false" outlineLevel="0" max="12" min="12" style="0" width="14"/>
    <col collapsed="false" customWidth="true" hidden="false" outlineLevel="0" max="13" min="13" style="0" width="34"/>
    <col collapsed="false" customWidth="true" hidden="false" outlineLevel="0" max="14" min="14" style="0" width="13"/>
    <col collapsed="false" customWidth="true" hidden="false" outlineLevel="0" max="15" min="15" style="0" width="15"/>
    <col collapsed="false" customWidth="true" hidden="false" outlineLevel="0" max="16" min="16" style="0" width="46"/>
  </cols>
  <sheetData>
    <row r="1" customFormat="false" ht="17.35" hidden="false" customHeight="false" outlineLevel="0" collapsed="false">
      <c r="A1" s="1" t="s">
        <v>0</v>
      </c>
    </row>
    <row r="2" customFormat="false" ht="15" hidden="false" customHeight="false" outlineLevel="0" collapsed="false">
      <c r="A2" s="2" t="s">
        <v>1</v>
      </c>
      <c r="B2" s="2"/>
      <c r="C2" s="3" t="n">
        <v>35.5</v>
      </c>
      <c r="D2" s="4" t="s">
        <v>2</v>
      </c>
    </row>
    <row r="4" customFormat="false" ht="48" hidden="false" customHeight="true" outlineLevel="0" collapsed="false">
      <c r="A4" s="5" t="s">
        <v>3</v>
      </c>
      <c r="B4" s="5" t="s">
        <v>4</v>
      </c>
      <c r="C4" s="5" t="s">
        <v>5</v>
      </c>
      <c r="D4" s="5" t="s">
        <v>6</v>
      </c>
      <c r="E4" s="5" t="s">
        <v>7</v>
      </c>
      <c r="F4" s="5" t="s">
        <v>8</v>
      </c>
      <c r="G4" s="5" t="s">
        <v>9</v>
      </c>
      <c r="H4" s="5" t="s">
        <v>10</v>
      </c>
      <c r="I4" s="5" t="s">
        <v>11</v>
      </c>
      <c r="J4" s="5" t="s">
        <v>12</v>
      </c>
      <c r="K4" s="5" t="s">
        <v>13</v>
      </c>
      <c r="L4" s="5" t="s">
        <v>14</v>
      </c>
      <c r="M4" s="5" t="s">
        <v>15</v>
      </c>
      <c r="N4" s="5" t="s">
        <v>16</v>
      </c>
      <c r="O4" s="5" t="s">
        <v>17</v>
      </c>
      <c r="P4" s="5" t="s">
        <v>18</v>
      </c>
    </row>
    <row r="5" customFormat="false" ht="39.55" hidden="false" customHeight="false" outlineLevel="0" collapsed="false">
      <c r="A5" s="6" t="s">
        <v>19</v>
      </c>
      <c r="B5" s="6" t="s">
        <v>20</v>
      </c>
      <c r="C5" s="7" t="s">
        <v>21</v>
      </c>
      <c r="D5" s="6" t="s">
        <v>22</v>
      </c>
      <c r="E5" s="8" t="n">
        <v>42</v>
      </c>
      <c r="F5" s="6"/>
      <c r="G5" s="8" t="str">
        <f aca="false">IF(E5="","Yes",IF($C$2&gt;=E5,"Yes","Not yet"))</f>
        <v>Not yet</v>
      </c>
      <c r="H5" s="6" t="s">
        <v>23</v>
      </c>
      <c r="I5" s="6" t="s">
        <v>24</v>
      </c>
      <c r="J5" s="6" t="s">
        <v>25</v>
      </c>
      <c r="K5" s="8" t="s">
        <v>26</v>
      </c>
      <c r="L5" s="8" t="s">
        <v>27</v>
      </c>
      <c r="M5" s="6" t="s">
        <v>28</v>
      </c>
      <c r="N5" s="8" t="n">
        <v>1</v>
      </c>
      <c r="O5" s="8" t="s">
        <v>29</v>
      </c>
      <c r="P5" s="6" t="s">
        <v>30</v>
      </c>
    </row>
    <row r="6" customFormat="false" ht="39.55" hidden="false" customHeight="false" outlineLevel="0" collapsed="false">
      <c r="A6" s="6" t="s">
        <v>19</v>
      </c>
      <c r="B6" s="6" t="s">
        <v>20</v>
      </c>
      <c r="C6" s="7" t="s">
        <v>31</v>
      </c>
      <c r="D6" s="6" t="s">
        <v>32</v>
      </c>
      <c r="E6" s="8" t="n">
        <v>40</v>
      </c>
      <c r="F6" s="6"/>
      <c r="G6" s="8" t="str">
        <f aca="false">IF(E6="","Yes",IF($C$2&gt;=E6,"Yes","Not yet"))</f>
        <v>Not yet</v>
      </c>
      <c r="H6" s="6" t="s">
        <v>33</v>
      </c>
      <c r="I6" s="6" t="s">
        <v>34</v>
      </c>
      <c r="J6" s="6" t="s">
        <v>35</v>
      </c>
      <c r="K6" s="8" t="s">
        <v>36</v>
      </c>
      <c r="L6" s="8" t="s">
        <v>37</v>
      </c>
      <c r="M6" s="6" t="s">
        <v>38</v>
      </c>
      <c r="N6" s="8" t="n">
        <v>2</v>
      </c>
      <c r="O6" s="8" t="s">
        <v>39</v>
      </c>
      <c r="P6" s="6" t="s">
        <v>40</v>
      </c>
    </row>
    <row r="7" customFormat="false" ht="39.55" hidden="false" customHeight="false" outlineLevel="0" collapsed="false">
      <c r="A7" s="6" t="s">
        <v>19</v>
      </c>
      <c r="B7" s="6" t="s">
        <v>41</v>
      </c>
      <c r="C7" s="7" t="s">
        <v>42</v>
      </c>
      <c r="D7" s="6" t="s">
        <v>43</v>
      </c>
      <c r="E7" s="8" t="n">
        <v>40</v>
      </c>
      <c r="F7" s="6"/>
      <c r="G7" s="8" t="str">
        <f aca="false">IF(E7="","Yes",IF($C$2&gt;=E7,"Yes","Not yet"))</f>
        <v>Not yet</v>
      </c>
      <c r="H7" s="6" t="s">
        <v>44</v>
      </c>
      <c r="I7" s="6" t="s">
        <v>34</v>
      </c>
      <c r="J7" s="6" t="s">
        <v>45</v>
      </c>
      <c r="K7" s="8" t="s">
        <v>26</v>
      </c>
      <c r="L7" s="8" t="s">
        <v>36</v>
      </c>
      <c r="M7" s="6" t="s">
        <v>46</v>
      </c>
      <c r="N7" s="8" t="n">
        <v>3</v>
      </c>
      <c r="O7" s="8" t="s">
        <v>47</v>
      </c>
      <c r="P7" s="6" t="s">
        <v>48</v>
      </c>
    </row>
    <row r="8" customFormat="false" ht="39.55" hidden="false" customHeight="false" outlineLevel="0" collapsed="false">
      <c r="A8" s="6" t="s">
        <v>19</v>
      </c>
      <c r="B8" s="6" t="s">
        <v>49</v>
      </c>
      <c r="C8" s="7" t="s">
        <v>50</v>
      </c>
      <c r="D8" s="6" t="s">
        <v>51</v>
      </c>
      <c r="E8" s="8"/>
      <c r="F8" s="6" t="s">
        <v>52</v>
      </c>
      <c r="G8" s="8" t="str">
        <f aca="false">IF(E8="","Yes",IF($C$2&gt;=E8,"Yes","Not yet"))</f>
        <v>Yes</v>
      </c>
      <c r="H8" s="6" t="s">
        <v>53</v>
      </c>
      <c r="I8" s="6" t="s">
        <v>34</v>
      </c>
      <c r="J8" s="6" t="s">
        <v>45</v>
      </c>
      <c r="K8" s="8" t="s">
        <v>26</v>
      </c>
      <c r="L8" s="8" t="s">
        <v>26</v>
      </c>
      <c r="M8" s="6"/>
      <c r="N8" s="8" t="n">
        <v>4</v>
      </c>
      <c r="O8" s="8" t="s">
        <v>54</v>
      </c>
      <c r="P8" s="6" t="s">
        <v>55</v>
      </c>
    </row>
    <row r="9" customFormat="false" ht="26.85" hidden="false" customHeight="false" outlineLevel="0" collapsed="false">
      <c r="A9" s="6" t="s">
        <v>19</v>
      </c>
      <c r="B9" s="6" t="s">
        <v>41</v>
      </c>
      <c r="C9" s="7" t="s">
        <v>56</v>
      </c>
      <c r="D9" s="6" t="s">
        <v>57</v>
      </c>
      <c r="E9" s="8"/>
      <c r="F9" s="6" t="s">
        <v>52</v>
      </c>
      <c r="G9" s="8" t="str">
        <f aca="false">IF(E9="","Yes",IF($C$2&gt;=E9,"Yes","Not yet"))</f>
        <v>Yes</v>
      </c>
      <c r="H9" s="6" t="s">
        <v>58</v>
      </c>
      <c r="I9" s="6" t="s">
        <v>34</v>
      </c>
      <c r="J9" s="6" t="s">
        <v>45</v>
      </c>
      <c r="K9" s="8" t="s">
        <v>26</v>
      </c>
      <c r="L9" s="8" t="s">
        <v>26</v>
      </c>
      <c r="M9" s="6"/>
      <c r="N9" s="8" t="n">
        <v>5</v>
      </c>
      <c r="O9" s="8" t="s">
        <v>59</v>
      </c>
      <c r="P9" s="6"/>
    </row>
    <row r="10" customFormat="false" ht="52.2" hidden="false" customHeight="false" outlineLevel="0" collapsed="false">
      <c r="A10" s="6" t="s">
        <v>19</v>
      </c>
      <c r="B10" s="6" t="s">
        <v>60</v>
      </c>
      <c r="C10" s="7" t="s">
        <v>61</v>
      </c>
      <c r="D10" s="6" t="s">
        <v>62</v>
      </c>
      <c r="E10" s="8"/>
      <c r="F10" s="6" t="s">
        <v>52</v>
      </c>
      <c r="G10" s="8" t="str">
        <f aca="false">IF(E10="","Yes",IF($C$2&gt;=E10,"Yes","Not yet"))</f>
        <v>Yes</v>
      </c>
      <c r="H10" s="6" t="s">
        <v>63</v>
      </c>
      <c r="I10" s="6" t="s">
        <v>64</v>
      </c>
      <c r="J10" s="6" t="s">
        <v>35</v>
      </c>
      <c r="K10" s="8" t="s">
        <v>26</v>
      </c>
      <c r="L10" s="8" t="s">
        <v>26</v>
      </c>
      <c r="M10" s="6" t="s">
        <v>65</v>
      </c>
      <c r="N10" s="8" t="n">
        <v>6</v>
      </c>
      <c r="O10" s="8" t="s">
        <v>66</v>
      </c>
      <c r="P10" s="6" t="s">
        <v>67</v>
      </c>
    </row>
    <row r="11" customFormat="false" ht="39.55" hidden="false" customHeight="false" outlineLevel="0" collapsed="false">
      <c r="A11" s="6" t="s">
        <v>19</v>
      </c>
      <c r="B11" s="6" t="s">
        <v>68</v>
      </c>
      <c r="C11" s="7" t="s">
        <v>69</v>
      </c>
      <c r="D11" s="6" t="s">
        <v>70</v>
      </c>
      <c r="E11" s="8"/>
      <c r="F11" s="6" t="s">
        <v>52</v>
      </c>
      <c r="G11" s="8" t="str">
        <f aca="false">IF(E11="","Yes",IF($C$2&gt;=E11,"Yes","Not yet"))</f>
        <v>Yes</v>
      </c>
      <c r="H11" s="6" t="s">
        <v>71</v>
      </c>
      <c r="I11" s="6" t="s">
        <v>72</v>
      </c>
      <c r="J11" s="6" t="s">
        <v>35</v>
      </c>
      <c r="K11" s="8" t="s">
        <v>36</v>
      </c>
      <c r="L11" s="8" t="s">
        <v>26</v>
      </c>
      <c r="M11" s="6" t="s">
        <v>73</v>
      </c>
      <c r="N11" s="8" t="n">
        <v>7</v>
      </c>
      <c r="O11" s="8" t="s">
        <v>74</v>
      </c>
      <c r="P11" s="6" t="s">
        <v>75</v>
      </c>
    </row>
    <row r="12" customFormat="false" ht="52.2" hidden="false" customHeight="false" outlineLevel="0" collapsed="false">
      <c r="A12" s="6" t="s">
        <v>19</v>
      </c>
      <c r="B12" s="6" t="s">
        <v>76</v>
      </c>
      <c r="C12" s="7" t="s">
        <v>77</v>
      </c>
      <c r="D12" s="6" t="s">
        <v>78</v>
      </c>
      <c r="E12" s="8"/>
      <c r="F12" s="6" t="s">
        <v>52</v>
      </c>
      <c r="G12" s="8" t="str">
        <f aca="false">IF(E12="","Yes",IF($C$2&gt;=E12,"Yes","Not yet"))</f>
        <v>Yes</v>
      </c>
      <c r="H12" s="6" t="s">
        <v>79</v>
      </c>
      <c r="I12" s="6" t="s">
        <v>80</v>
      </c>
      <c r="J12" s="6" t="s">
        <v>81</v>
      </c>
      <c r="K12" s="8" t="s">
        <v>26</v>
      </c>
      <c r="L12" s="8" t="s">
        <v>26</v>
      </c>
      <c r="M12" s="6"/>
      <c r="N12" s="8" t="n">
        <v>8</v>
      </c>
      <c r="O12" s="8" t="s">
        <v>82</v>
      </c>
      <c r="P12" s="6"/>
    </row>
    <row r="13" customFormat="false" ht="39.55" hidden="false" customHeight="false" outlineLevel="0" collapsed="false">
      <c r="A13" s="6" t="s">
        <v>19</v>
      </c>
      <c r="B13" s="6" t="s">
        <v>20</v>
      </c>
      <c r="C13" s="7" t="s">
        <v>83</v>
      </c>
      <c r="D13" s="6" t="s">
        <v>84</v>
      </c>
      <c r="E13" s="8" t="n">
        <v>40</v>
      </c>
      <c r="F13" s="6" t="s">
        <v>85</v>
      </c>
      <c r="G13" s="8" t="str">
        <f aca="false">IF(E13="","Yes",IF($C$2&gt;=E13,"Yes","Not yet"))</f>
        <v>Not yet</v>
      </c>
      <c r="H13" s="6" t="s">
        <v>86</v>
      </c>
      <c r="I13" s="6" t="s">
        <v>34</v>
      </c>
      <c r="J13" s="6" t="s">
        <v>45</v>
      </c>
      <c r="K13" s="8" t="s">
        <v>26</v>
      </c>
      <c r="L13" s="8" t="s">
        <v>26</v>
      </c>
      <c r="M13" s="6"/>
      <c r="N13" s="8" t="n">
        <v>9</v>
      </c>
      <c r="O13" s="8" t="s">
        <v>87</v>
      </c>
      <c r="P13" s="6"/>
    </row>
    <row r="14" customFormat="false" ht="26.85" hidden="false" customHeight="false" outlineLevel="0" collapsed="false">
      <c r="A14" s="6" t="s">
        <v>19</v>
      </c>
      <c r="B14" s="6" t="s">
        <v>49</v>
      </c>
      <c r="C14" s="7" t="s">
        <v>88</v>
      </c>
      <c r="D14" s="6" t="s">
        <v>89</v>
      </c>
      <c r="E14" s="8"/>
      <c r="F14" s="6" t="s">
        <v>52</v>
      </c>
      <c r="G14" s="8" t="str">
        <f aca="false">IF(E14="","Yes",IF($C$2&gt;=E14,"Yes","Not yet"))</f>
        <v>Yes</v>
      </c>
      <c r="H14" s="6" t="s">
        <v>90</v>
      </c>
      <c r="I14" s="6" t="s">
        <v>34</v>
      </c>
      <c r="J14" s="6" t="s">
        <v>45</v>
      </c>
      <c r="K14" s="8" t="s">
        <v>26</v>
      </c>
      <c r="L14" s="8" t="s">
        <v>26</v>
      </c>
      <c r="M14" s="6"/>
      <c r="N14" s="8" t="n">
        <v>10</v>
      </c>
      <c r="O14" s="8" t="s">
        <v>91</v>
      </c>
      <c r="P14" s="6"/>
    </row>
    <row r="15" customFormat="false" ht="39.55" hidden="false" customHeight="false" outlineLevel="0" collapsed="false">
      <c r="A15" s="6" t="s">
        <v>19</v>
      </c>
      <c r="B15" s="6" t="s">
        <v>41</v>
      </c>
      <c r="C15" s="7" t="s">
        <v>92</v>
      </c>
      <c r="D15" s="6" t="s">
        <v>93</v>
      </c>
      <c r="E15" s="8"/>
      <c r="F15" s="6" t="s">
        <v>52</v>
      </c>
      <c r="G15" s="8" t="str">
        <f aca="false">IF(E15="","Yes",IF($C$2&gt;=E15,"Yes","Not yet"))</f>
        <v>Yes</v>
      </c>
      <c r="H15" s="6" t="s">
        <v>94</v>
      </c>
      <c r="I15" s="6" t="s">
        <v>95</v>
      </c>
      <c r="J15" s="6" t="s">
        <v>45</v>
      </c>
      <c r="K15" s="8" t="s">
        <v>26</v>
      </c>
      <c r="L15" s="8" t="s">
        <v>27</v>
      </c>
      <c r="M15" s="6" t="s">
        <v>96</v>
      </c>
      <c r="N15" s="8" t="n">
        <v>11</v>
      </c>
      <c r="O15" s="8" t="s">
        <v>97</v>
      </c>
      <c r="P15" s="6"/>
    </row>
    <row r="16" customFormat="false" ht="26.85" hidden="false" customHeight="false" outlineLevel="0" collapsed="false">
      <c r="A16" s="9" t="s">
        <v>98</v>
      </c>
      <c r="B16" s="9" t="s">
        <v>99</v>
      </c>
      <c r="C16" s="10" t="s">
        <v>100</v>
      </c>
      <c r="D16" s="9" t="s">
        <v>101</v>
      </c>
      <c r="E16" s="11"/>
      <c r="F16" s="9" t="s">
        <v>52</v>
      </c>
      <c r="G16" s="11" t="str">
        <f aca="false">IF(E16="","Yes",IF($C$2&gt;=E16,"Yes","Not yet"))</f>
        <v>Yes</v>
      </c>
      <c r="H16" s="9" t="s">
        <v>102</v>
      </c>
      <c r="I16" s="9" t="s">
        <v>103</v>
      </c>
      <c r="J16" s="9" t="s">
        <v>104</v>
      </c>
      <c r="K16" s="11" t="s">
        <v>26</v>
      </c>
      <c r="L16" s="11" t="s">
        <v>26</v>
      </c>
      <c r="M16" s="9"/>
      <c r="N16" s="11" t="n">
        <v>1</v>
      </c>
      <c r="O16" s="11" t="s">
        <v>105</v>
      </c>
      <c r="P16" s="9" t="s">
        <v>30</v>
      </c>
    </row>
    <row r="17" customFormat="false" ht="26.85" hidden="false" customHeight="false" outlineLevel="0" collapsed="false">
      <c r="A17" s="9" t="s">
        <v>98</v>
      </c>
      <c r="B17" s="9" t="s">
        <v>106</v>
      </c>
      <c r="C17" s="10" t="s">
        <v>107</v>
      </c>
      <c r="D17" s="9" t="s">
        <v>108</v>
      </c>
      <c r="E17" s="11" t="n">
        <v>44</v>
      </c>
      <c r="F17" s="9"/>
      <c r="G17" s="11" t="str">
        <f aca="false">IF(E17="","Yes",IF($C$2&gt;=E17,"Yes","Not yet"))</f>
        <v>Not yet</v>
      </c>
      <c r="H17" s="9" t="s">
        <v>109</v>
      </c>
      <c r="I17" s="9" t="s">
        <v>110</v>
      </c>
      <c r="J17" s="9" t="s">
        <v>25</v>
      </c>
      <c r="K17" s="11" t="s">
        <v>26</v>
      </c>
      <c r="L17" s="11" t="s">
        <v>26</v>
      </c>
      <c r="M17" s="9"/>
      <c r="N17" s="11" t="n">
        <v>2</v>
      </c>
      <c r="O17" s="11" t="s">
        <v>111</v>
      </c>
      <c r="P17" s="9"/>
    </row>
    <row r="18" customFormat="false" ht="39.55" hidden="false" customHeight="false" outlineLevel="0" collapsed="false">
      <c r="A18" s="9" t="s">
        <v>98</v>
      </c>
      <c r="B18" s="9" t="s">
        <v>112</v>
      </c>
      <c r="C18" s="10" t="s">
        <v>113</v>
      </c>
      <c r="D18" s="9" t="s">
        <v>114</v>
      </c>
      <c r="E18" s="11" t="n">
        <v>44</v>
      </c>
      <c r="F18" s="9"/>
      <c r="G18" s="11" t="str">
        <f aca="false">IF(E18="","Yes",IF($C$2&gt;=E18,"Yes","Not yet"))</f>
        <v>Not yet</v>
      </c>
      <c r="H18" s="9" t="s">
        <v>115</v>
      </c>
      <c r="I18" s="9" t="s">
        <v>34</v>
      </c>
      <c r="J18" s="9" t="s">
        <v>104</v>
      </c>
      <c r="K18" s="11" t="s">
        <v>116</v>
      </c>
      <c r="L18" s="11" t="s">
        <v>26</v>
      </c>
      <c r="M18" s="9" t="s">
        <v>117</v>
      </c>
      <c r="N18" s="11" t="n">
        <v>3</v>
      </c>
      <c r="O18" s="11" t="s">
        <v>118</v>
      </c>
      <c r="P18" s="9" t="s">
        <v>119</v>
      </c>
    </row>
    <row r="19" customFormat="false" ht="39.55" hidden="false" customHeight="false" outlineLevel="0" collapsed="false">
      <c r="A19" s="9" t="s">
        <v>98</v>
      </c>
      <c r="B19" s="9" t="s">
        <v>106</v>
      </c>
      <c r="C19" s="10" t="s">
        <v>120</v>
      </c>
      <c r="D19" s="9" t="s">
        <v>121</v>
      </c>
      <c r="E19" s="11"/>
      <c r="F19" s="9" t="s">
        <v>52</v>
      </c>
      <c r="G19" s="11" t="str">
        <f aca="false">IF(E19="","Yes",IF($C$2&gt;=E19,"Yes","Not yet"))</f>
        <v>Yes</v>
      </c>
      <c r="H19" s="9" t="s">
        <v>109</v>
      </c>
      <c r="I19" s="9" t="s">
        <v>122</v>
      </c>
      <c r="J19" s="9" t="s">
        <v>104</v>
      </c>
      <c r="K19" s="11" t="s">
        <v>26</v>
      </c>
      <c r="L19" s="11" t="s">
        <v>26</v>
      </c>
      <c r="M19" s="9"/>
      <c r="N19" s="11" t="n">
        <v>4</v>
      </c>
      <c r="O19" s="11" t="s">
        <v>123</v>
      </c>
      <c r="P19" s="9"/>
    </row>
    <row r="20" customFormat="false" ht="26.85" hidden="false" customHeight="false" outlineLevel="0" collapsed="false">
      <c r="A20" s="9" t="s">
        <v>98</v>
      </c>
      <c r="B20" s="9" t="s">
        <v>112</v>
      </c>
      <c r="C20" s="10" t="s">
        <v>124</v>
      </c>
      <c r="D20" s="9" t="s">
        <v>125</v>
      </c>
      <c r="E20" s="11" t="n">
        <v>38</v>
      </c>
      <c r="F20" s="9"/>
      <c r="G20" s="11" t="str">
        <f aca="false">IF(E20="","Yes",IF($C$2&gt;=E20,"Yes","Not yet"))</f>
        <v>Not yet</v>
      </c>
      <c r="H20" s="9" t="s">
        <v>81</v>
      </c>
      <c r="I20" s="9" t="s">
        <v>34</v>
      </c>
      <c r="J20" s="9" t="s">
        <v>104</v>
      </c>
      <c r="K20" s="11" t="s">
        <v>26</v>
      </c>
      <c r="L20" s="11" t="s">
        <v>37</v>
      </c>
      <c r="M20" s="9" t="s">
        <v>126</v>
      </c>
      <c r="N20" s="11" t="n">
        <v>5</v>
      </c>
      <c r="O20" s="11" t="s">
        <v>127</v>
      </c>
      <c r="P20" s="9"/>
    </row>
    <row r="21" customFormat="false" ht="39.55" hidden="false" customHeight="false" outlineLevel="0" collapsed="false">
      <c r="A21" s="9" t="s">
        <v>98</v>
      </c>
      <c r="B21" s="9" t="s">
        <v>128</v>
      </c>
      <c r="C21" s="10" t="s">
        <v>129</v>
      </c>
      <c r="D21" s="9" t="s">
        <v>130</v>
      </c>
      <c r="E21" s="11"/>
      <c r="F21" s="9" t="s">
        <v>52</v>
      </c>
      <c r="G21" s="11" t="str">
        <f aca="false">IF(E21="","Yes",IF($C$2&gt;=E21,"Yes","Not yet"))</f>
        <v>Yes</v>
      </c>
      <c r="H21" s="9" t="s">
        <v>131</v>
      </c>
      <c r="I21" s="9" t="s">
        <v>132</v>
      </c>
      <c r="J21" s="9" t="s">
        <v>133</v>
      </c>
      <c r="K21" s="11" t="s">
        <v>26</v>
      </c>
      <c r="L21" s="11" t="s">
        <v>26</v>
      </c>
      <c r="M21" s="9"/>
      <c r="N21" s="11"/>
      <c r="O21" s="11" t="s">
        <v>134</v>
      </c>
      <c r="P21" s="9" t="s">
        <v>135</v>
      </c>
    </row>
    <row r="22" customFormat="false" ht="52.2" hidden="false" customHeight="false" outlineLevel="0" collapsed="false">
      <c r="A22" s="12" t="s">
        <v>136</v>
      </c>
      <c r="B22" s="12" t="s">
        <v>137</v>
      </c>
      <c r="C22" s="13" t="s">
        <v>138</v>
      </c>
      <c r="D22" s="12" t="s">
        <v>139</v>
      </c>
      <c r="E22" s="14" t="n">
        <v>40</v>
      </c>
      <c r="F22" s="12"/>
      <c r="G22" s="14" t="str">
        <f aca="false">IF(E22="","Yes",IF($C$2&gt;=E22,"Yes","Not yet"))</f>
        <v>Not yet</v>
      </c>
      <c r="H22" s="12" t="s">
        <v>140</v>
      </c>
      <c r="I22" s="12" t="s">
        <v>141</v>
      </c>
      <c r="J22" s="12" t="s">
        <v>142</v>
      </c>
      <c r="K22" s="14" t="s">
        <v>36</v>
      </c>
      <c r="L22" s="14" t="s">
        <v>27</v>
      </c>
      <c r="M22" s="12" t="s">
        <v>143</v>
      </c>
      <c r="N22" s="14" t="n">
        <v>1</v>
      </c>
      <c r="O22" s="14" t="s">
        <v>144</v>
      </c>
      <c r="P22" s="12" t="s">
        <v>145</v>
      </c>
    </row>
    <row r="23" customFormat="false" ht="39.55" hidden="false" customHeight="false" outlineLevel="0" collapsed="false">
      <c r="A23" s="12" t="s">
        <v>136</v>
      </c>
      <c r="B23" s="12" t="s">
        <v>146</v>
      </c>
      <c r="C23" s="13" t="s">
        <v>147</v>
      </c>
      <c r="D23" s="12" t="s">
        <v>148</v>
      </c>
      <c r="E23" s="14" t="n">
        <v>48</v>
      </c>
      <c r="F23" s="12"/>
      <c r="G23" s="14" t="str">
        <f aca="false">IF(E23="","Yes",IF($C$2&gt;=E23,"Yes","Not yet"))</f>
        <v>Not yet</v>
      </c>
      <c r="H23" s="12" t="s">
        <v>149</v>
      </c>
      <c r="I23" s="12" t="s">
        <v>150</v>
      </c>
      <c r="J23" s="12" t="s">
        <v>151</v>
      </c>
      <c r="K23" s="14" t="s">
        <v>36</v>
      </c>
      <c r="L23" s="14" t="s">
        <v>26</v>
      </c>
      <c r="M23" s="12"/>
      <c r="N23" s="14" t="n">
        <v>2</v>
      </c>
      <c r="O23" s="14" t="s">
        <v>152</v>
      </c>
      <c r="P23" s="12"/>
    </row>
    <row r="24" customFormat="false" ht="15" hidden="false" customHeight="false" outlineLevel="0" collapsed="false">
      <c r="A24" s="12" t="s">
        <v>136</v>
      </c>
      <c r="B24" s="12" t="s">
        <v>153</v>
      </c>
      <c r="C24" s="13" t="s">
        <v>154</v>
      </c>
      <c r="D24" s="12" t="s">
        <v>155</v>
      </c>
      <c r="E24" s="14" t="n">
        <v>48</v>
      </c>
      <c r="F24" s="12"/>
      <c r="G24" s="14" t="str">
        <f aca="false">IF(E24="","Yes",IF($C$2&gt;=E24,"Yes","Not yet"))</f>
        <v>Not yet</v>
      </c>
      <c r="H24" s="12" t="s">
        <v>156</v>
      </c>
      <c r="I24" s="12" t="s">
        <v>34</v>
      </c>
      <c r="J24" s="12" t="s">
        <v>151</v>
      </c>
      <c r="K24" s="14" t="s">
        <v>36</v>
      </c>
      <c r="L24" s="14" t="s">
        <v>26</v>
      </c>
      <c r="M24" s="12"/>
      <c r="N24" s="14" t="n">
        <v>3</v>
      </c>
      <c r="O24" s="14" t="s">
        <v>157</v>
      </c>
      <c r="P24" s="12"/>
    </row>
    <row r="25" customFormat="false" ht="39.55" hidden="false" customHeight="false" outlineLevel="0" collapsed="false">
      <c r="A25" s="12" t="s">
        <v>136</v>
      </c>
      <c r="B25" s="12" t="s">
        <v>158</v>
      </c>
      <c r="C25" s="13" t="s">
        <v>159</v>
      </c>
      <c r="D25" s="12" t="s">
        <v>160</v>
      </c>
      <c r="E25" s="14" t="n">
        <v>40</v>
      </c>
      <c r="F25" s="12"/>
      <c r="G25" s="14" t="str">
        <f aca="false">IF(E25="","Yes",IF($C$2&gt;=E25,"Yes","Not yet"))</f>
        <v>Not yet</v>
      </c>
      <c r="H25" s="12" t="s">
        <v>161</v>
      </c>
      <c r="I25" s="12" t="s">
        <v>162</v>
      </c>
      <c r="J25" s="12" t="s">
        <v>142</v>
      </c>
      <c r="K25" s="14" t="s">
        <v>36</v>
      </c>
      <c r="L25" s="14" t="s">
        <v>26</v>
      </c>
      <c r="M25" s="12" t="s">
        <v>163</v>
      </c>
      <c r="N25" s="14" t="n">
        <v>4</v>
      </c>
      <c r="O25" s="14" t="s">
        <v>164</v>
      </c>
      <c r="P25" s="12"/>
    </row>
    <row r="26" customFormat="false" ht="26.85" hidden="false" customHeight="false" outlineLevel="0" collapsed="false">
      <c r="A26" s="12" t="s">
        <v>136</v>
      </c>
      <c r="B26" s="12" t="s">
        <v>165</v>
      </c>
      <c r="C26" s="13" t="s">
        <v>166</v>
      </c>
      <c r="D26" s="12" t="s">
        <v>167</v>
      </c>
      <c r="E26" s="14" t="n">
        <v>40</v>
      </c>
      <c r="F26" s="12"/>
      <c r="G26" s="14" t="str">
        <f aca="false">IF(E26="","Yes",IF($C$2&gt;=E26,"Yes","Not yet"))</f>
        <v>Not yet</v>
      </c>
      <c r="H26" s="12" t="s">
        <v>168</v>
      </c>
      <c r="I26" s="12" t="s">
        <v>169</v>
      </c>
      <c r="J26" s="12" t="s">
        <v>151</v>
      </c>
      <c r="K26" s="14" t="s">
        <v>36</v>
      </c>
      <c r="L26" s="14" t="s">
        <v>36</v>
      </c>
      <c r="M26" s="12" t="s">
        <v>170</v>
      </c>
      <c r="N26" s="14" t="n">
        <v>5</v>
      </c>
      <c r="O26" s="14" t="s">
        <v>171</v>
      </c>
      <c r="P26" s="12"/>
    </row>
    <row r="27" customFormat="false" ht="52.2" hidden="false" customHeight="false" outlineLevel="0" collapsed="false">
      <c r="A27" s="12" t="s">
        <v>136</v>
      </c>
      <c r="B27" s="12" t="s">
        <v>172</v>
      </c>
      <c r="C27" s="13" t="s">
        <v>173</v>
      </c>
      <c r="D27" s="12" t="s">
        <v>174</v>
      </c>
      <c r="E27" s="14" t="n">
        <v>40</v>
      </c>
      <c r="F27" s="12"/>
      <c r="G27" s="14" t="str">
        <f aca="false">IF(E27="","Yes",IF($C$2&gt;=E27,"Yes","Not yet"))</f>
        <v>Not yet</v>
      </c>
      <c r="H27" s="12" t="s">
        <v>175</v>
      </c>
      <c r="I27" s="12" t="s">
        <v>176</v>
      </c>
      <c r="J27" s="12" t="s">
        <v>151</v>
      </c>
      <c r="K27" s="14" t="s">
        <v>177</v>
      </c>
      <c r="L27" s="14" t="s">
        <v>26</v>
      </c>
      <c r="M27" s="12"/>
      <c r="N27" s="14" t="n">
        <v>6</v>
      </c>
      <c r="O27" s="14" t="s">
        <v>178</v>
      </c>
      <c r="P27" s="12" t="s">
        <v>179</v>
      </c>
    </row>
    <row r="28" customFormat="false" ht="39.55" hidden="false" customHeight="false" outlineLevel="0" collapsed="false">
      <c r="A28" s="12" t="s">
        <v>136</v>
      </c>
      <c r="B28" s="12" t="s">
        <v>153</v>
      </c>
      <c r="C28" s="13" t="s">
        <v>180</v>
      </c>
      <c r="D28" s="12" t="s">
        <v>181</v>
      </c>
      <c r="E28" s="14"/>
      <c r="F28" s="12" t="s">
        <v>182</v>
      </c>
      <c r="G28" s="14" t="str">
        <f aca="false">IF(E28="","Yes",IF($C$2&gt;=E28,"Yes","Not yet"))</f>
        <v>Yes</v>
      </c>
      <c r="H28" s="12" t="s">
        <v>183</v>
      </c>
      <c r="I28" s="12" t="s">
        <v>34</v>
      </c>
      <c r="J28" s="12" t="s">
        <v>151</v>
      </c>
      <c r="K28" s="14" t="s">
        <v>26</v>
      </c>
      <c r="L28" s="14" t="s">
        <v>26</v>
      </c>
      <c r="M28" s="12"/>
      <c r="N28" s="14" t="n">
        <v>7</v>
      </c>
      <c r="O28" s="14" t="s">
        <v>184</v>
      </c>
      <c r="P28" s="12" t="s">
        <v>185</v>
      </c>
    </row>
    <row r="29" customFormat="false" ht="39.55" hidden="false" customHeight="false" outlineLevel="0" collapsed="false">
      <c r="A29" s="12" t="s">
        <v>136</v>
      </c>
      <c r="B29" s="12" t="s">
        <v>146</v>
      </c>
      <c r="C29" s="13" t="s">
        <v>186</v>
      </c>
      <c r="D29" s="12" t="s">
        <v>187</v>
      </c>
      <c r="E29" s="14" t="n">
        <v>40</v>
      </c>
      <c r="F29" s="12" t="s">
        <v>188</v>
      </c>
      <c r="G29" s="14" t="str">
        <f aca="false">IF(E29="","Yes",IF($C$2&gt;=E29,"Yes","Not yet"))</f>
        <v>Not yet</v>
      </c>
      <c r="H29" s="12" t="s">
        <v>189</v>
      </c>
      <c r="I29" s="12" t="s">
        <v>190</v>
      </c>
      <c r="J29" s="12" t="s">
        <v>151</v>
      </c>
      <c r="K29" s="14" t="s">
        <v>36</v>
      </c>
      <c r="L29" s="14" t="s">
        <v>26</v>
      </c>
      <c r="M29" s="12"/>
      <c r="N29" s="14" t="n">
        <v>8</v>
      </c>
      <c r="O29" s="14" t="s">
        <v>191</v>
      </c>
      <c r="P29" s="12"/>
    </row>
    <row r="30" customFormat="false" ht="39.55" hidden="false" customHeight="false" outlineLevel="0" collapsed="false">
      <c r="A30" s="12" t="s">
        <v>136</v>
      </c>
      <c r="B30" s="12" t="s">
        <v>165</v>
      </c>
      <c r="C30" s="13" t="s">
        <v>192</v>
      </c>
      <c r="D30" s="12" t="s">
        <v>193</v>
      </c>
      <c r="E30" s="14" t="n">
        <v>34</v>
      </c>
      <c r="F30" s="12" t="s">
        <v>194</v>
      </c>
      <c r="G30" s="14" t="str">
        <f aca="false">IF(E30="","Yes",IF($C$2&gt;=E30,"Yes","Not yet"))</f>
        <v>Yes</v>
      </c>
      <c r="H30" s="12" t="s">
        <v>195</v>
      </c>
      <c r="I30" s="12" t="s">
        <v>196</v>
      </c>
      <c r="J30" s="12" t="s">
        <v>151</v>
      </c>
      <c r="K30" s="14" t="s">
        <v>26</v>
      </c>
      <c r="L30" s="14" t="s">
        <v>26</v>
      </c>
      <c r="M30" s="12" t="s">
        <v>197</v>
      </c>
      <c r="N30" s="14" t="n">
        <v>9</v>
      </c>
      <c r="O30" s="14" t="s">
        <v>198</v>
      </c>
      <c r="P30" s="12" t="s">
        <v>199</v>
      </c>
    </row>
    <row r="31" customFormat="false" ht="26.85" hidden="false" customHeight="false" outlineLevel="0" collapsed="false">
      <c r="A31" s="12" t="s">
        <v>136</v>
      </c>
      <c r="B31" s="12" t="s">
        <v>172</v>
      </c>
      <c r="C31" s="13" t="s">
        <v>200</v>
      </c>
      <c r="D31" s="12" t="s">
        <v>201</v>
      </c>
      <c r="E31" s="14" t="n">
        <v>48</v>
      </c>
      <c r="F31" s="12"/>
      <c r="G31" s="14" t="str">
        <f aca="false">IF(E31="","Yes",IF($C$2&gt;=E31,"Yes","Not yet"))</f>
        <v>Not yet</v>
      </c>
      <c r="H31" s="12" t="s">
        <v>175</v>
      </c>
      <c r="I31" s="12" t="s">
        <v>176</v>
      </c>
      <c r="J31" s="12" t="s">
        <v>202</v>
      </c>
      <c r="K31" s="14" t="s">
        <v>26</v>
      </c>
      <c r="L31" s="14" t="s">
        <v>26</v>
      </c>
      <c r="M31" s="12"/>
      <c r="N31" s="14" t="n">
        <v>10</v>
      </c>
      <c r="O31" s="14" t="s">
        <v>203</v>
      </c>
      <c r="P31" s="12" t="s">
        <v>204</v>
      </c>
    </row>
    <row r="32" customFormat="false" ht="52.2" hidden="false" customHeight="false" outlineLevel="0" collapsed="false">
      <c r="A32" s="12" t="s">
        <v>136</v>
      </c>
      <c r="B32" s="12" t="s">
        <v>172</v>
      </c>
      <c r="C32" s="13" t="s">
        <v>205</v>
      </c>
      <c r="D32" s="12" t="s">
        <v>206</v>
      </c>
      <c r="E32" s="14"/>
      <c r="F32" s="12" t="s">
        <v>182</v>
      </c>
      <c r="G32" s="14" t="str">
        <f aca="false">IF(E32="","Yes",IF($C$2&gt;=E32,"Yes","Not yet"))</f>
        <v>Yes</v>
      </c>
      <c r="H32" s="12" t="s">
        <v>207</v>
      </c>
      <c r="I32" s="12" t="s">
        <v>208</v>
      </c>
      <c r="J32" s="12" t="s">
        <v>151</v>
      </c>
      <c r="K32" s="14" t="s">
        <v>26</v>
      </c>
      <c r="L32" s="14" t="s">
        <v>26</v>
      </c>
      <c r="M32" s="12"/>
      <c r="N32" s="14" t="n">
        <v>11</v>
      </c>
      <c r="O32" s="14" t="s">
        <v>209</v>
      </c>
      <c r="P32" s="12" t="s">
        <v>210</v>
      </c>
    </row>
    <row r="34" customFormat="false" ht="15" hidden="false" customHeight="false" outlineLevel="0" collapsed="false">
      <c r="A34" s="15" t="s">
        <v>211</v>
      </c>
    </row>
    <row r="35" customFormat="false" ht="15" hidden="false" customHeight="false" outlineLevel="0" collapsed="false">
      <c r="A35" s="16" t="s">
        <v>19</v>
      </c>
      <c r="B35" s="16" t="str">
        <f aca="false">COUNTIFS($A$5:$A$32,A35,$G$5:$G$32,"Yes")&amp;" of "&amp;COUNTIF($A$5:$A$32,A35)</f>
        <v>7 of 11</v>
      </c>
    </row>
    <row r="36" customFormat="false" ht="15" hidden="false" customHeight="false" outlineLevel="0" collapsed="false">
      <c r="A36" s="16" t="s">
        <v>98</v>
      </c>
      <c r="B36" s="16" t="str">
        <f aca="false">COUNTIFS($A$5:$A$32,A36,$G$5:$G$32,"Yes")&amp;" of "&amp;COUNTIF($A$5:$A$32,A36)</f>
        <v>3 of 6</v>
      </c>
    </row>
    <row r="37" customFormat="false" ht="15" hidden="false" customHeight="false" outlineLevel="0" collapsed="false">
      <c r="A37" s="16" t="s">
        <v>136</v>
      </c>
      <c r="B37" s="16" t="str">
        <f aca="false">COUNTIFS($A$5:$A$32,A37,$G$5:$G$32,"Yes")&amp;" of "&amp;COUNTIF($A$5:$A$32,A37)</f>
        <v>3 of 11</v>
      </c>
    </row>
  </sheetData>
  <autoFilter ref="A4:P32"/>
  <mergeCells count="1">
    <mergeCell ref="A2:B2"/>
  </mergeCells>
  <conditionalFormatting sqref="G5:G32">
    <cfRule type="expression" priority="2" aboveAverage="0" equalAverage="0" bottom="0" percent="0" rank="0" text="" dxfId="11">
      <formula>G5="Yes"</formula>
    </cfRule>
    <cfRule type="expression" priority="3" aboveAverage="0" equalAverage="0" bottom="0" percent="0" rank="0" text="" dxfId="12">
      <formula>G5="Not yet"</formula>
    </cfRule>
  </conditionalFormatting>
  <conditionalFormatting sqref="L5:L32">
    <cfRule type="expression" priority="4" aboveAverage="0" equalAverage="0" bottom="0" percent="0" rank="0" text="" dxfId="13">
      <formula>L5="Yes"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36"/>
    <col collapsed="false" customWidth="true" hidden="false" outlineLevel="0" max="4" min="4" style="0" width="16"/>
    <col collapsed="false" customWidth="true" hidden="false" outlineLevel="0" max="5" min="5" style="0" width="12"/>
    <col collapsed="false" customWidth="true" hidden="false" outlineLevel="0" max="6" min="6" style="0" width="56"/>
  </cols>
  <sheetData>
    <row r="1" customFormat="false" ht="15" hidden="false" customHeight="false" outlineLevel="0" collapsed="false">
      <c r="A1" s="17" t="s">
        <v>212</v>
      </c>
    </row>
    <row r="2" customFormat="false" ht="15" hidden="false" customHeight="false" outlineLevel="0" collapsed="false">
      <c r="A2" s="4" t="s">
        <v>213</v>
      </c>
    </row>
    <row r="4" customFormat="false" ht="26.85" hidden="false" customHeight="false" outlineLevel="0" collapsed="false">
      <c r="A4" s="18" t="s">
        <v>214</v>
      </c>
      <c r="B4" s="18" t="s">
        <v>215</v>
      </c>
      <c r="C4" s="18" t="s">
        <v>216</v>
      </c>
      <c r="D4" s="18" t="s">
        <v>3</v>
      </c>
      <c r="E4" s="18" t="s">
        <v>9</v>
      </c>
      <c r="F4" s="18" t="s">
        <v>217</v>
      </c>
    </row>
    <row r="5" customFormat="false" ht="15" hidden="false" customHeight="false" outlineLevel="0" collapsed="false">
      <c r="A5" s="10" t="s">
        <v>218</v>
      </c>
      <c r="B5" s="11" t="s">
        <v>219</v>
      </c>
      <c r="C5" s="9" t="s">
        <v>129</v>
      </c>
      <c r="D5" s="9" t="s">
        <v>98</v>
      </c>
      <c r="E5" s="11" t="str">
        <f aca="false">IFERROR(INDEX(Rides!$G$5:$G$32,MATCH(C5,Rides!$C$5:$C$32,0)),"?")</f>
        <v>Yes</v>
      </c>
      <c r="F5" s="9" t="s">
        <v>220</v>
      </c>
    </row>
    <row r="6" customFormat="false" ht="15" hidden="false" customHeight="false" outlineLevel="0" collapsed="false">
      <c r="A6" s="7" t="s">
        <v>221</v>
      </c>
      <c r="B6" s="8" t="s">
        <v>222</v>
      </c>
      <c r="C6" s="6" t="s">
        <v>92</v>
      </c>
      <c r="D6" s="6" t="s">
        <v>19</v>
      </c>
      <c r="E6" s="8" t="str">
        <f aca="false">IFERROR(INDEX(Rides!$G$5:$G$32,MATCH(C6,Rides!$C$5:$C$32,0)),"?")</f>
        <v>Yes</v>
      </c>
      <c r="F6" s="6" t="s">
        <v>223</v>
      </c>
    </row>
    <row r="7" customFormat="false" ht="15" hidden="false" customHeight="false" outlineLevel="0" collapsed="false">
      <c r="A7" s="7" t="s">
        <v>224</v>
      </c>
      <c r="B7" s="8" t="s">
        <v>222</v>
      </c>
      <c r="C7" s="6" t="s">
        <v>69</v>
      </c>
      <c r="D7" s="6" t="s">
        <v>19</v>
      </c>
      <c r="E7" s="8" t="str">
        <f aca="false">IFERROR(INDEX(Rides!$G$5:$G$32,MATCH(C7,Rides!$C$5:$C$32,0)),"?")</f>
        <v>Yes</v>
      </c>
      <c r="F7" s="6" t="s">
        <v>225</v>
      </c>
    </row>
    <row r="8" customFormat="false" ht="26.85" hidden="false" customHeight="false" outlineLevel="0" collapsed="false">
      <c r="A8" s="7" t="s">
        <v>226</v>
      </c>
      <c r="B8" s="8" t="s">
        <v>227</v>
      </c>
      <c r="C8" s="6" t="s">
        <v>61</v>
      </c>
      <c r="D8" s="6" t="s">
        <v>19</v>
      </c>
      <c r="E8" s="8" t="str">
        <f aca="false">IFERROR(INDEX(Rides!$G$5:$G$32,MATCH(C8,Rides!$C$5:$C$32,0)),"?")</f>
        <v>Yes</v>
      </c>
      <c r="F8" s="6" t="s">
        <v>228</v>
      </c>
    </row>
    <row r="9" customFormat="false" ht="26.85" hidden="false" customHeight="false" outlineLevel="0" collapsed="false">
      <c r="A9" s="7" t="s">
        <v>229</v>
      </c>
      <c r="B9" s="8" t="s">
        <v>230</v>
      </c>
      <c r="C9" s="6" t="s">
        <v>77</v>
      </c>
      <c r="D9" s="6" t="s">
        <v>19</v>
      </c>
      <c r="E9" s="8" t="str">
        <f aca="false">IFERROR(INDEX(Rides!$G$5:$G$32,MATCH(C9,Rides!$C$5:$C$32,0)),"?")</f>
        <v>Yes</v>
      </c>
      <c r="F9" s="6" t="s">
        <v>231</v>
      </c>
    </row>
    <row r="10" customFormat="false" ht="26.85" hidden="false" customHeight="false" outlineLevel="0" collapsed="false">
      <c r="A10" s="13" t="s">
        <v>232</v>
      </c>
      <c r="B10" s="14" t="s">
        <v>227</v>
      </c>
      <c r="C10" s="12" t="s">
        <v>192</v>
      </c>
      <c r="D10" s="12" t="s">
        <v>136</v>
      </c>
      <c r="E10" s="14" t="str">
        <f aca="false">IFERROR(INDEX(Rides!$G$5:$G$32,MATCH(C10,Rides!$C$5:$C$32,0)),"?")</f>
        <v>Yes</v>
      </c>
      <c r="F10" s="12" t="s">
        <v>233</v>
      </c>
    </row>
    <row r="11" customFormat="false" ht="26.85" hidden="false" customHeight="false" outlineLevel="0" collapsed="false">
      <c r="A11" s="13" t="s">
        <v>234</v>
      </c>
      <c r="B11" s="14" t="s">
        <v>227</v>
      </c>
      <c r="C11" s="12" t="s">
        <v>205</v>
      </c>
      <c r="D11" s="12" t="s">
        <v>136</v>
      </c>
      <c r="E11" s="14" t="str">
        <f aca="false">IFERROR(INDEX(Rides!$G$5:$G$32,MATCH(C11,Rides!$C$5:$C$32,0)),"?")</f>
        <v>Yes</v>
      </c>
      <c r="F11" s="12" t="s">
        <v>235</v>
      </c>
    </row>
  </sheetData>
  <conditionalFormatting sqref="E5:E11">
    <cfRule type="expression" priority="2" aboveAverage="0" equalAverage="0" bottom="0" percent="0" rank="0" text="" dxfId="11">
      <formula>E5="Yes"</formula>
    </cfRule>
    <cfRule type="expression" priority="3" aboveAverage="0" equalAverage="0" bottom="0" percent="0" rank="0" text="" dxfId="12">
      <formula>E5="Not yet"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2"/>
    <col collapsed="false" customWidth="true" hidden="false" outlineLevel="0" max="4" min="4" style="0" width="22"/>
  </cols>
  <sheetData>
    <row r="1" customFormat="false" ht="15" hidden="false" customHeight="false" outlineLevel="0" collapsed="false">
      <c r="A1" s="17" t="s">
        <v>236</v>
      </c>
    </row>
    <row r="3" customFormat="false" ht="31.5" hidden="false" customHeight="true" outlineLevel="0" collapsed="false">
      <c r="A3" s="18" t="s">
        <v>3</v>
      </c>
      <c r="B3" s="18" t="s">
        <v>237</v>
      </c>
      <c r="C3" s="18" t="s">
        <v>238</v>
      </c>
      <c r="D3" s="18" t="s">
        <v>17</v>
      </c>
    </row>
    <row r="4" customFormat="false" ht="15" hidden="false" customHeight="false" outlineLevel="0" collapsed="false">
      <c r="A4" s="19" t="s">
        <v>19</v>
      </c>
      <c r="B4" s="19" t="s">
        <v>239</v>
      </c>
      <c r="C4" s="19" t="s">
        <v>240</v>
      </c>
      <c r="D4" s="19" t="s">
        <v>241</v>
      </c>
    </row>
    <row r="5" customFormat="false" ht="15" hidden="false" customHeight="false" outlineLevel="0" collapsed="false">
      <c r="A5" s="19" t="s">
        <v>19</v>
      </c>
      <c r="B5" s="19" t="s">
        <v>242</v>
      </c>
      <c r="C5" s="19" t="s">
        <v>243</v>
      </c>
      <c r="D5" s="19" t="s">
        <v>244</v>
      </c>
    </row>
    <row r="6" customFormat="false" ht="15" hidden="false" customHeight="false" outlineLevel="0" collapsed="false">
      <c r="A6" s="19" t="s">
        <v>19</v>
      </c>
      <c r="B6" s="19" t="s">
        <v>245</v>
      </c>
      <c r="C6" s="19" t="s">
        <v>246</v>
      </c>
      <c r="D6" s="19" t="s">
        <v>247</v>
      </c>
    </row>
    <row r="7" customFormat="false" ht="15" hidden="false" customHeight="false" outlineLevel="0" collapsed="false">
      <c r="A7" s="19" t="s">
        <v>19</v>
      </c>
      <c r="B7" s="19" t="s">
        <v>248</v>
      </c>
      <c r="C7" s="19" t="s">
        <v>249</v>
      </c>
      <c r="D7" s="19" t="s">
        <v>250</v>
      </c>
    </row>
    <row r="8" customFormat="false" ht="15" hidden="false" customHeight="false" outlineLevel="0" collapsed="false">
      <c r="A8" s="19" t="s">
        <v>19</v>
      </c>
      <c r="B8" s="19" t="s">
        <v>251</v>
      </c>
      <c r="C8" s="19" t="s">
        <v>249</v>
      </c>
      <c r="D8" s="19" t="s">
        <v>252</v>
      </c>
    </row>
    <row r="9" customFormat="false" ht="15" hidden="false" customHeight="false" outlineLevel="0" collapsed="false">
      <c r="A9" s="19" t="s">
        <v>19</v>
      </c>
      <c r="B9" s="19" t="s">
        <v>253</v>
      </c>
      <c r="C9" s="19" t="s">
        <v>254</v>
      </c>
      <c r="D9" s="19" t="s">
        <v>255</v>
      </c>
    </row>
    <row r="10" customFormat="false" ht="15" hidden="false" customHeight="false" outlineLevel="0" collapsed="false">
      <c r="A10" s="19" t="s">
        <v>19</v>
      </c>
      <c r="B10" s="19" t="s">
        <v>256</v>
      </c>
      <c r="C10" s="19" t="s">
        <v>257</v>
      </c>
      <c r="D10" s="19" t="s">
        <v>258</v>
      </c>
    </row>
    <row r="11" customFormat="false" ht="15" hidden="false" customHeight="false" outlineLevel="0" collapsed="false">
      <c r="A11" s="19" t="s">
        <v>19</v>
      </c>
      <c r="B11" s="19" t="s">
        <v>259</v>
      </c>
      <c r="C11" s="19" t="s">
        <v>260</v>
      </c>
      <c r="D11" s="19" t="s">
        <v>261</v>
      </c>
    </row>
    <row r="12" customFormat="false" ht="15" hidden="false" customHeight="false" outlineLevel="0" collapsed="false">
      <c r="A12" s="19" t="s">
        <v>19</v>
      </c>
      <c r="B12" s="19" t="s">
        <v>262</v>
      </c>
      <c r="C12" s="19" t="s">
        <v>263</v>
      </c>
      <c r="D12" s="19" t="s">
        <v>264</v>
      </c>
    </row>
    <row r="13" customFormat="false" ht="15" hidden="false" customHeight="false" outlineLevel="0" collapsed="false">
      <c r="A13" s="20" t="s">
        <v>98</v>
      </c>
      <c r="B13" s="20" t="s">
        <v>265</v>
      </c>
      <c r="C13" s="20" t="s">
        <v>266</v>
      </c>
      <c r="D13" s="20" t="s">
        <v>267</v>
      </c>
    </row>
    <row r="14" customFormat="false" ht="15" hidden="false" customHeight="false" outlineLevel="0" collapsed="false">
      <c r="A14" s="20" t="s">
        <v>98</v>
      </c>
      <c r="B14" s="20" t="s">
        <v>268</v>
      </c>
      <c r="C14" s="20" t="s">
        <v>269</v>
      </c>
      <c r="D14" s="20" t="s">
        <v>270</v>
      </c>
    </row>
    <row r="15" customFormat="false" ht="15" hidden="false" customHeight="false" outlineLevel="0" collapsed="false">
      <c r="A15" s="20" t="s">
        <v>98</v>
      </c>
      <c r="B15" s="20" t="s">
        <v>271</v>
      </c>
      <c r="C15" s="20" t="s">
        <v>272</v>
      </c>
      <c r="D15" s="20" t="s">
        <v>273</v>
      </c>
    </row>
    <row r="17" customFormat="false" ht="15" hidden="false" customHeight="false" outlineLevel="0" collapsed="false">
      <c r="A17" s="15" t="s">
        <v>274</v>
      </c>
    </row>
    <row r="18" customFormat="false" ht="15" hidden="false" customHeight="false" outlineLevel="0" collapsed="false">
      <c r="A18" s="16" t="s">
        <v>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0"/>
  </cols>
  <sheetData>
    <row r="1" customFormat="false" ht="15" hidden="false" customHeight="false" outlineLevel="0" collapsed="false">
      <c r="A1" s="21" t="s">
        <v>276</v>
      </c>
    </row>
    <row r="2" customFormat="false" ht="15" hidden="false" customHeight="false" outlineLevel="0" collapsed="false">
      <c r="A2" s="22" t="s">
        <v>7</v>
      </c>
      <c r="B2" s="23" t="s">
        <v>277</v>
      </c>
    </row>
    <row r="3" customFormat="false" ht="26.85" hidden="false" customHeight="false" outlineLevel="0" collapsed="false">
      <c r="A3" s="22" t="s">
        <v>9</v>
      </c>
      <c r="B3" s="23" t="s">
        <v>278</v>
      </c>
    </row>
    <row r="4" customFormat="false" ht="26.85" hidden="false" customHeight="false" outlineLevel="0" collapsed="false">
      <c r="A4" s="22" t="s">
        <v>279</v>
      </c>
      <c r="B4" s="23" t="s">
        <v>280</v>
      </c>
    </row>
    <row r="5" customFormat="false" ht="39.55" hidden="false" customHeight="false" outlineLevel="0" collapsed="false">
      <c r="A5" s="22" t="s">
        <v>281</v>
      </c>
      <c r="B5" s="23" t="s">
        <v>282</v>
      </c>
    </row>
    <row r="6" customFormat="false" ht="39.55" hidden="false" customHeight="false" outlineLevel="0" collapsed="false">
      <c r="A6" s="22" t="s">
        <v>283</v>
      </c>
      <c r="B6" s="23" t="s">
        <v>284</v>
      </c>
    </row>
    <row r="7" customFormat="false" ht="26.85" hidden="false" customHeight="false" outlineLevel="0" collapsed="false">
      <c r="A7" s="22" t="s">
        <v>285</v>
      </c>
      <c r="B7" s="23" t="s">
        <v>286</v>
      </c>
    </row>
    <row r="8" customFormat="false" ht="39.55" hidden="false" customHeight="false" outlineLevel="0" collapsed="false">
      <c r="A8" s="22" t="s">
        <v>287</v>
      </c>
      <c r="B8" s="23" t="s">
        <v>288</v>
      </c>
    </row>
    <row r="9" customFormat="false" ht="26.85" hidden="false" customHeight="false" outlineLevel="0" collapsed="false">
      <c r="A9" s="22" t="s">
        <v>289</v>
      </c>
      <c r="B9" s="23" t="s">
        <v>290</v>
      </c>
    </row>
    <row r="10" customFormat="false" ht="15" hidden="false" customHeight="false" outlineLevel="0" collapsed="false">
      <c r="A10" s="21"/>
    </row>
    <row r="11" customFormat="false" ht="15" hidden="false" customHeight="false" outlineLevel="0" collapsed="false">
      <c r="A11" s="21" t="s">
        <v>291</v>
      </c>
    </row>
    <row r="12" customFormat="false" ht="15" hidden="false" customHeight="false" outlineLevel="0" collapsed="false">
      <c r="A12" s="22" t="s">
        <v>292</v>
      </c>
      <c r="B12" s="23" t="s">
        <v>293</v>
      </c>
    </row>
    <row r="13" customFormat="false" ht="23.85" hidden="false" customHeight="false" outlineLevel="0" collapsed="false">
      <c r="A13" s="22" t="s">
        <v>294</v>
      </c>
      <c r="B13" s="23" t="s">
        <v>295</v>
      </c>
    </row>
    <row r="14" customFormat="false" ht="15" hidden="false" customHeight="false" outlineLevel="0" collapsed="false">
      <c r="A14" s="22" t="s">
        <v>296</v>
      </c>
      <c r="B14" s="23" t="s">
        <v>297</v>
      </c>
    </row>
    <row r="15" customFormat="false" ht="26.85" hidden="false" customHeight="false" outlineLevel="0" collapsed="false">
      <c r="A15" s="22" t="s">
        <v>298</v>
      </c>
      <c r="B15" s="23" t="s">
        <v>299</v>
      </c>
    </row>
    <row r="16" customFormat="false" ht="15" hidden="false" customHeight="false" outlineLevel="0" collapsed="false">
      <c r="A16" s="22" t="s">
        <v>300</v>
      </c>
      <c r="B16" s="23" t="s">
        <v>301</v>
      </c>
    </row>
    <row r="17" customFormat="false" ht="15" hidden="false" customHeight="false" outlineLevel="0" collapsed="false">
      <c r="A17" s="22" t="s">
        <v>302</v>
      </c>
      <c r="B17" s="23" t="s">
        <v>303</v>
      </c>
    </row>
    <row r="18" customFormat="false" ht="15" hidden="false" customHeight="false" outlineLevel="0" collapsed="false">
      <c r="A18" s="22" t="s">
        <v>304</v>
      </c>
      <c r="B18" s="23" t="s">
        <v>305</v>
      </c>
    </row>
    <row r="19" customFormat="false" ht="15" hidden="false" customHeight="false" outlineLevel="0" collapsed="false">
      <c r="A19" s="22" t="s">
        <v>306</v>
      </c>
      <c r="B19" s="23" t="s">
        <v>307</v>
      </c>
    </row>
    <row r="20" customFormat="false" ht="15" hidden="false" customHeight="false" outlineLevel="0" collapsed="false">
      <c r="A20" s="22" t="s">
        <v>308</v>
      </c>
      <c r="B20" s="23" t="s">
        <v>309</v>
      </c>
    </row>
    <row r="21" customFormat="false" ht="15" hidden="false" customHeight="false" outlineLevel="0" collapsed="false">
      <c r="A21" s="22" t="s">
        <v>42</v>
      </c>
      <c r="B21" s="23" t="s">
        <v>310</v>
      </c>
    </row>
    <row r="22" customFormat="false" ht="15" hidden="false" customHeight="false" outlineLevel="0" collapsed="false">
      <c r="A22" s="22" t="s">
        <v>311</v>
      </c>
      <c r="B22" s="23" t="s">
        <v>312</v>
      </c>
    </row>
    <row r="23" customFormat="false" ht="26.85" hidden="false" customHeight="false" outlineLevel="0" collapsed="false">
      <c r="A23" s="22" t="s">
        <v>313</v>
      </c>
      <c r="B23" s="23" t="s">
        <v>314</v>
      </c>
    </row>
    <row r="24" customFormat="false" ht="15" hidden="false" customHeight="false" outlineLevel="0" collapsed="false">
      <c r="A24" s="22" t="s">
        <v>315</v>
      </c>
      <c r="B24" s="23" t="s">
        <v>316</v>
      </c>
    </row>
    <row r="25" customFormat="false" ht="15" hidden="false" customHeight="false" outlineLevel="0" collapsed="false">
      <c r="A25" s="21"/>
    </row>
    <row r="26" customFormat="false" ht="26.85" hidden="false" customHeight="false" outlineLevel="0" collapsed="false">
      <c r="A26" s="22" t="s">
        <v>317</v>
      </c>
      <c r="B26" s="23" t="s">
        <v>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2026-10-13T02:02:17Z</dcterms:created>
  <dc:creator>openpyxl</dc:creator>
  <dc:description/>
  <dc:language>en-US</dc:language>
  <cp:lastModifiedBy/>
  <dcterms:modified xsi:type="dcterms:W3CDTF">2026-10-13T02:02:17Z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